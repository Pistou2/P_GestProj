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balmorira\Desktop\Proj\Grp2c-G2-bou-mer-bal-iso\JDT\"/>
    </mc:Choice>
  </mc:AlternateContent>
  <bookViews>
    <workbookView xWindow="3675" yWindow="1965" windowWidth="15120" windowHeight="7410" activeTab="6"/>
  </bookViews>
  <sheets>
    <sheet name="Donnees" sheetId="7" r:id="rId1"/>
    <sheet name="Diagramme" sheetId="160" r:id="rId2"/>
    <sheet name="DiagramHeader" sheetId="10" state="hidden" r:id="rId3"/>
    <sheet name="DiagramFooter" sheetId="130" state="hidden" r:id="rId4"/>
    <sheet name="PlanificationWeek" sheetId="11" state="hidden" r:id="rId5"/>
    <sheet name="achievementWeek" sheetId="154" state="hidden" r:id="rId6"/>
    <sheet name="JNLTRAV" sheetId="157" r:id="rId7"/>
    <sheet name="Planning" sheetId="159" r:id="rId8"/>
  </sheets>
  <definedNames>
    <definedName name="datDateBegin">Donnees!$C$9</definedName>
    <definedName name="ListTasks">Diagramme!$B$3:$B$18</definedName>
    <definedName name="lstTasks">Donnees!$C$20:$C$45</definedName>
    <definedName name="NbLessons">Diagramme!$C$3:$C$18</definedName>
    <definedName name="NbPerWeek">Donnees!$C$12</definedName>
    <definedName name="NbQuartPer">Donnees!$C$13</definedName>
    <definedName name="NbWeeks">Donnees!$C$11</definedName>
    <definedName name="objFooterDiagram">DiagramFooter!$B$3:$C$4</definedName>
    <definedName name="objPlanifWeek" localSheetId="7">Planning!$A$1:$D$14</definedName>
    <definedName name="objPlanifWeek">PlanificationWeek!$A$1:$D$14</definedName>
    <definedName name="objRealizedWeek" localSheetId="5">achievementWeek!$A$1:$D$19</definedName>
    <definedName name="objRealizedWeek" localSheetId="6">JNLTRAV!$A$1:$D$19</definedName>
    <definedName name="_xlnm.Print_Area" localSheetId="1">Diagramme!$A$1:$AN$21</definedName>
    <definedName name="_xlnm.Print_Area" localSheetId="0">Donnees!$A$1:$G$54</definedName>
    <definedName name="_xlnm.Print_Area" localSheetId="6">JNLTRAV!$A$1:$D$57</definedName>
    <definedName name="_xlnm.Print_Area" localSheetId="7">Planning!$A$1:$D$42</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17" i="160" l="1"/>
  <c r="B15" i="160"/>
  <c r="B13" i="160"/>
  <c r="B11" i="160"/>
  <c r="B9" i="160"/>
  <c r="B7" i="160"/>
  <c r="B5" i="160"/>
  <c r="C20" i="160"/>
  <c r="C19" i="160"/>
  <c r="B41" i="159"/>
  <c r="B27" i="159"/>
  <c r="B13" i="159"/>
  <c r="B56" i="157"/>
  <c r="B37" i="157"/>
  <c r="B18" i="157"/>
  <c r="B18" i="154" l="1"/>
  <c r="B13" i="11"/>
</calcChain>
</file>

<file path=xl/sharedStrings.xml><?xml version="1.0" encoding="utf-8"?>
<sst xmlns="http://schemas.openxmlformats.org/spreadsheetml/2006/main" count="119" uniqueCount="52">
  <si>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</si>
  <si>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</si>
  <si>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</si>
  <si>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</si>
  <si>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</si>
  <si>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</si>
  <si>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</si>
  <si>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</si>
  <si>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</si>
  <si>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</si>
  <si>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</si>
  <si>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</si>
  <si>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</si>
  <si>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</si>
  <si>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</si>
  <si>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</si>
  <si>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</si>
  <si>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</si>
  <si>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</si>
  <si>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</si>
  <si>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</si>
  <si>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</si>
  <si>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</si>
  <si>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</si>
  <si>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Projet GestProj2</t>
  </si>
  <si>
    <t>Raphaël Balmori</t>
  </si>
  <si>
    <t>CIN2A</t>
  </si>
  <si>
    <t>N103</t>
  </si>
  <si>
    <t>Réalisation de la maquette</t>
  </si>
  <si>
    <t>Réalisation du code HTML</t>
  </si>
  <si>
    <t>Réalisation du Code CSS</t>
  </si>
  <si>
    <t>Recherche d'information sur internet</t>
  </si>
  <si>
    <t>S 1</t>
  </si>
  <si>
    <t>S 2</t>
  </si>
  <si>
    <t>S 3</t>
  </si>
  <si>
    <t>Max. 12</t>
  </si>
  <si>
    <t>STOP</t>
  </si>
  <si>
    <t>Daly Scrum</t>
  </si>
  <si>
    <t>Disscution avec le professeur + DalyScrum du groupe de Fasano</t>
  </si>
  <si>
    <t>Daly Scrum avec le groupe</t>
  </si>
  <si>
    <t>Recherche d'un moyen de création de bouton personnaliser HTML/CSS sur  internet. Bien que de nombreux sites proposent la création de bouton, aucun ne permetait de faire un bouton comme je l'avais imaginé. J'ai donc arreté les recherches afin de travailler sur autre chose</t>
  </si>
  <si>
    <t>Autre</t>
  </si>
  <si>
    <t>Réalisation d'une nouvelle image de background pour le site</t>
  </si>
  <si>
    <t>Modification du footer afin de le verouiller en bas de l'écran et de fixer sa position</t>
  </si>
  <si>
    <t xml:space="preserve">Recherche sur le moyen de verouiller un footer HTML en bas de l'écran et non en bas de la page. L'information à finalement été trouvée </t>
  </si>
  <si>
    <t>JDT</t>
  </si>
  <si>
    <t>Remplire le JDT</t>
  </si>
  <si>
    <t>Préparation des portes ouvertes</t>
  </si>
  <si>
    <t>Addaptation des margins et des paddings + diverses modification sur le site</t>
  </si>
  <si>
    <t>Présentation</t>
  </si>
  <si>
    <t>Grp2c-G2-bou-mer-bal-iso\Site web\Site\resources\css\common.css</t>
  </si>
  <si>
    <t>Grp2c-G2-bou-mer-bal-iso\Site web\Site\resources\images\BackGround01.png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</si>
</sst>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2"/>
      <name val="Arial"/>
      <family val="2"/>
    </font>
    <font>
      <sz val="14"/>
      <name val="Arial"/>
      <family val="2"/>
    </font>
    <font>
      <b/>
      <sz val="18"/>
      <name val="Arial"/>
      <family val="2"/>
    </font>
    <font>
      <sz val="10"/>
      <color theme="0"/>
      <name val="Arial"/>
      <family val="2"/>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24">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7" fillId="14" borderId="29" xfId="0" applyFont="1" applyFill="1" applyBorder="1" applyAlignment="1" applyProtection="1">
      <alignment horizontal="center" vertical="center"/>
    </xf>
    <xf numFmtId="0" fontId="17" fillId="14" borderId="28" xfId="0" applyFont="1" applyFill="1" applyBorder="1" applyAlignment="1" applyProtection="1">
      <alignment horizontal="center" vertical="center"/>
    </xf>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6" fillId="9" borderId="0" xfId="0" applyFont="1" applyFill="1" applyProtection="1"/>
    <xf numFmtId="0" fontId="11" fillId="4" borderId="13" xfId="0" applyFont="1" applyFill="1" applyBorder="1" applyAlignment="1" applyProtection="1">
      <alignment horizontal="left" vertical="top" wrapText="1"/>
    </xf>
    <xf numFmtId="0" fontId="19" fillId="9" borderId="0" xfId="0" applyFont="1" applyFill="1"/>
    <xf numFmtId="0" fontId="11" fillId="12" borderId="13" xfId="0" applyFont="1" applyFill="1" applyBorder="1" applyAlignment="1" applyProtection="1">
      <alignment horizontal="left" vertical="top" wrapText="1"/>
    </xf>
    <xf numFmtId="0" fontId="0" fillId="15" borderId="41" xfId="0" applyFill="1" applyBorder="1" applyProtection="1"/>
    <xf numFmtId="0" fontId="0" fillId="15" borderId="42" xfId="0" applyFill="1" applyBorder="1" applyProtection="1"/>
    <xf numFmtId="0" fontId="0" fillId="15" borderId="43" xfId="0" applyFill="1" applyBorder="1" applyProtection="1"/>
    <xf numFmtId="0" fontId="0" fillId="15" borderId="44" xfId="0" applyFill="1" applyBorder="1" applyProtection="1"/>
    <xf numFmtId="0" fontId="0" fillId="15" borderId="45"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6" fillId="6" borderId="35" xfId="0" applyNumberFormat="1" applyFont="1" applyFill="1" applyBorder="1" applyAlignment="1" applyProtection="1">
      <alignment vertical="center"/>
    </xf>
    <xf numFmtId="0" fontId="16" fillId="6" borderId="19" xfId="0" applyFont="1" applyFill="1" applyBorder="1" applyAlignment="1" applyProtection="1">
      <alignment vertical="center"/>
    </xf>
    <xf numFmtId="0" fontId="18" fillId="9" borderId="14" xfId="0" applyFont="1" applyFill="1" applyBorder="1" applyAlignment="1" applyProtection="1">
      <alignment horizontal="center" vertical="center"/>
    </xf>
    <xf numFmtId="0" fontId="18" fillId="9" borderId="12" xfId="0" applyFont="1" applyFill="1" applyBorder="1" applyAlignment="1" applyProtection="1">
      <alignment horizontal="center" vertical="center"/>
    </xf>
    <xf numFmtId="0" fontId="18"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6"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2</xdr:row>
          <xdr:rowOff>0</xdr:rowOff>
        </xdr:from>
        <xdr:to>
          <xdr:col>6</xdr:col>
          <xdr:colOff>95250</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Realisation"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6081" name="btnImportPlanification" hidden="1">
              <a:extLst>
                <a:ext uri="{63B3BB69-23CF-44E3-9099-C40C66FF867C}">
                  <a14:compatExt spid="_x0000_s46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C1" zoomScaleNormal="100" workbookViewId="0">
      <selection activeCell="C31" sqref="C31"/>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42706</v>
      </c>
      <c r="D9" s="37"/>
      <c r="E9" s="37"/>
      <c r="F9" s="37"/>
      <c r="G9" s="34"/>
    </row>
    <row r="10" spans="1:7" ht="19.5" x14ac:dyDescent="0.2">
      <c r="A10" s="42"/>
      <c r="B10" s="22" t="s">
        <v>8</v>
      </c>
      <c r="C10" s="24">
        <v>42720</v>
      </c>
      <c r="D10" s="37"/>
      <c r="E10" s="38"/>
      <c r="F10" s="37"/>
      <c r="G10" s="34"/>
    </row>
    <row r="11" spans="1:7" ht="19.5" x14ac:dyDescent="0.2">
      <c r="A11" s="42"/>
      <c r="B11" s="22" t="s">
        <v>10</v>
      </c>
      <c r="C11" s="28">
        <v>3</v>
      </c>
      <c r="D11" s="37"/>
      <c r="E11" s="37"/>
      <c r="F11" s="37"/>
      <c r="G11" s="34"/>
    </row>
    <row r="12" spans="1:7" ht="19.5" x14ac:dyDescent="0.2">
      <c r="A12" s="42"/>
      <c r="B12" s="3" t="s">
        <v>11</v>
      </c>
      <c r="C12" s="27">
        <v>4</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13" t="s">
        <v>19</v>
      </c>
      <c r="C19" s="114"/>
      <c r="D19" s="37"/>
      <c r="E19" s="37"/>
      <c r="F19" s="37"/>
      <c r="G19" s="34"/>
    </row>
    <row r="20" spans="1:13" ht="19.5" x14ac:dyDescent="0.2">
      <c r="A20" s="52"/>
      <c r="B20" s="66" t="s">
        <v>20</v>
      </c>
      <c r="C20" s="70" t="s">
        <v>21</v>
      </c>
      <c r="D20" s="37"/>
      <c r="E20" s="37"/>
      <c r="F20" s="37"/>
      <c r="G20" s="34"/>
    </row>
    <row r="21" spans="1:13" ht="19.5" x14ac:dyDescent="0.2">
      <c r="A21" s="52"/>
      <c r="B21" s="66">
        <v>1</v>
      </c>
      <c r="C21" s="24" t="s">
        <v>37</v>
      </c>
      <c r="D21" s="37"/>
      <c r="E21" s="37"/>
      <c r="F21" s="37"/>
      <c r="G21" s="34"/>
    </row>
    <row r="22" spans="1:13" ht="19.5" x14ac:dyDescent="0.2">
      <c r="A22" s="52"/>
      <c r="B22" s="66">
        <v>2</v>
      </c>
      <c r="C22" s="24" t="s">
        <v>28</v>
      </c>
      <c r="D22" s="37"/>
      <c r="E22" s="37"/>
      <c r="F22" s="37"/>
      <c r="G22" s="34"/>
    </row>
    <row r="23" spans="1:13" ht="19.5" x14ac:dyDescent="0.2">
      <c r="A23" s="52"/>
      <c r="B23" s="67">
        <v>3</v>
      </c>
      <c r="C23" s="28" t="s">
        <v>29</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41</v>
      </c>
      <c r="D26" s="37"/>
      <c r="E26" s="37"/>
      <c r="F26" s="37"/>
      <c r="G26" s="34"/>
    </row>
    <row r="27" spans="1:13" ht="19.5" x14ac:dyDescent="0.2">
      <c r="A27" s="52"/>
      <c r="B27" s="66">
        <v>7</v>
      </c>
      <c r="C27" s="28" t="s">
        <v>45</v>
      </c>
      <c r="D27" s="37"/>
      <c r="E27" s="37"/>
      <c r="F27" s="37"/>
      <c r="G27" s="34"/>
    </row>
    <row r="28" spans="1:13" ht="19.5" x14ac:dyDescent="0.2">
      <c r="A28" s="52"/>
      <c r="B28" s="66">
        <v>8</v>
      </c>
      <c r="C28" s="27" t="s">
        <v>49</v>
      </c>
      <c r="D28" s="37"/>
      <c r="E28" s="37"/>
      <c r="F28" s="37"/>
      <c r="G28" s="34"/>
    </row>
    <row r="29" spans="1:13" ht="19.5" x14ac:dyDescent="0.2">
      <c r="A29" s="52"/>
      <c r="B29" s="67">
        <v>9</v>
      </c>
      <c r="C29" s="27"/>
      <c r="D29" s="37"/>
      <c r="E29" s="37"/>
      <c r="F29" s="37"/>
      <c r="G29" s="34"/>
    </row>
    <row r="30" spans="1:13" ht="19.5" x14ac:dyDescent="0.2">
      <c r="A30" s="52"/>
      <c r="B30" s="66">
        <v>10</v>
      </c>
      <c r="C30" s="28"/>
      <c r="D30" s="37"/>
      <c r="E30" s="37"/>
      <c r="F30" s="37"/>
      <c r="G30" s="34"/>
    </row>
    <row r="31" spans="1:13" ht="19.5" x14ac:dyDescent="0.2">
      <c r="A31" s="52"/>
      <c r="B31" s="66">
        <v>11</v>
      </c>
      <c r="C31" s="28"/>
      <c r="D31" s="37"/>
      <c r="E31" s="37"/>
      <c r="F31" s="37"/>
      <c r="G31" s="34"/>
      <c r="H31" s="1"/>
      <c r="I31" s="1"/>
      <c r="J31" s="1"/>
      <c r="K31" s="1"/>
      <c r="L31" s="1"/>
      <c r="M31" s="1"/>
    </row>
    <row r="32" spans="1:13" ht="19.5" x14ac:dyDescent="0.2">
      <c r="A32" s="52"/>
      <c r="B32" s="67">
        <v>12</v>
      </c>
      <c r="C32" s="28"/>
      <c r="D32" s="37"/>
      <c r="E32" s="37"/>
      <c r="F32" s="37"/>
      <c r="G32" s="34"/>
      <c r="H32" s="1"/>
      <c r="I32" s="1"/>
      <c r="J32" s="1"/>
      <c r="K32" s="1"/>
      <c r="L32" s="1"/>
      <c r="M32" s="1"/>
    </row>
    <row r="33" spans="1:13" ht="19.5" x14ac:dyDescent="0.2">
      <c r="A33" s="52"/>
      <c r="B33" s="66">
        <v>13</v>
      </c>
      <c r="C33" s="28"/>
      <c r="D33" s="37"/>
      <c r="E33" s="37"/>
      <c r="F33" s="37"/>
      <c r="G33" s="34"/>
      <c r="H33" s="1"/>
      <c r="I33" s="1"/>
      <c r="J33" s="1"/>
      <c r="K33" s="1"/>
      <c r="L33" s="1"/>
      <c r="M33" s="1"/>
    </row>
    <row r="34" spans="1:13" ht="19.5" x14ac:dyDescent="0.2">
      <c r="A34" s="52"/>
      <c r="B34" s="66">
        <v>14</v>
      </c>
      <c r="C34" s="27"/>
      <c r="D34" s="37"/>
      <c r="E34" s="37"/>
      <c r="F34" s="37"/>
      <c r="G34" s="34"/>
      <c r="H34" s="1"/>
      <c r="I34" s="1"/>
      <c r="J34" s="1"/>
      <c r="K34" s="1"/>
      <c r="L34" s="1"/>
      <c r="M34" s="1"/>
    </row>
    <row r="35" spans="1:13" ht="19.5" x14ac:dyDescent="0.2">
      <c r="A35" s="52"/>
      <c r="B35" s="67">
        <v>15</v>
      </c>
      <c r="C35" s="27"/>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9525</xdr:colOff>
                <xdr:row>5</xdr:row>
                <xdr:rowOff>9525</xdr:rowOff>
              </from>
              <to>
                <xdr:col>6</xdr:col>
                <xdr:colOff>114300</xdr:colOff>
                <xdr:row>7</xdr:row>
                <xdr:rowOff>66675</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2</xdr:row>
                <xdr:rowOff>0</xdr:rowOff>
              </from>
              <to>
                <xdr:col>6</xdr:col>
                <xdr:colOff>95250</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9525</xdr:colOff>
                <xdr:row>8</xdr:row>
                <xdr:rowOff>190500</xdr:rowOff>
              </from>
              <to>
                <xdr:col>6</xdr:col>
                <xdr:colOff>133350</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AM20"/>
  <sheetViews>
    <sheetView view="pageBreakPreview" zoomScale="60" zoomScaleNormal="100" workbookViewId="0">
      <selection activeCell="B1" sqref="B1"/>
    </sheetView>
  </sheetViews>
  <sheetFormatPr baseColWidth="10" defaultColWidth="1.5703125" defaultRowHeight="19.5" customHeight="1" x14ac:dyDescent="0.2"/>
  <cols>
    <col min="1" max="1" width="17.85546875" style="83" customWidth="1"/>
    <col min="2" max="2" width="51.28515625" style="83" customWidth="1"/>
    <col min="3" max="3" width="19.42578125" style="83" customWidth="1"/>
    <col min="4" max="16384" width="1.5703125" style="83"/>
  </cols>
  <sheetData>
    <row r="1" spans="1:39" ht="13.5" thickBot="1" x14ac:dyDescent="0.25">
      <c r="B1" s="84"/>
      <c r="C1" s="84"/>
    </row>
    <row r="2" spans="1:39" ht="42.75" customHeight="1" thickBot="1" x14ac:dyDescent="0.25">
      <c r="A2" s="85"/>
      <c r="B2" s="45" t="s">
        <v>5</v>
      </c>
      <c r="C2" s="29" t="s">
        <v>18</v>
      </c>
      <c r="D2" s="117" t="s">
        <v>32</v>
      </c>
      <c r="E2" s="118"/>
      <c r="F2" s="118"/>
      <c r="G2" s="118"/>
      <c r="H2" s="118"/>
      <c r="I2" s="118"/>
      <c r="J2" s="118"/>
      <c r="K2" s="118"/>
      <c r="L2" s="118"/>
      <c r="M2" s="118"/>
      <c r="N2" s="118"/>
      <c r="O2" s="119"/>
      <c r="P2" s="117" t="s">
        <v>33</v>
      </c>
      <c r="Q2" s="118"/>
      <c r="R2" s="118"/>
      <c r="S2" s="118"/>
      <c r="T2" s="118"/>
      <c r="U2" s="118"/>
      <c r="V2" s="118"/>
      <c r="W2" s="118"/>
      <c r="X2" s="118"/>
      <c r="Y2" s="118"/>
      <c r="Z2" s="118"/>
      <c r="AA2" s="119"/>
      <c r="AB2" s="117" t="s">
        <v>34</v>
      </c>
      <c r="AC2" s="118"/>
      <c r="AD2" s="118"/>
      <c r="AE2" s="118"/>
      <c r="AF2" s="118"/>
      <c r="AG2" s="118"/>
      <c r="AH2" s="118"/>
      <c r="AI2" s="118"/>
      <c r="AJ2" s="118"/>
      <c r="AK2" s="118"/>
      <c r="AL2" s="118"/>
      <c r="AM2" s="119"/>
    </row>
    <row r="3" spans="1:39" ht="19.5" customHeight="1" x14ac:dyDescent="0.2">
      <c r="A3" s="85"/>
      <c r="B3" s="120" t="s">
        <v>21</v>
      </c>
      <c r="C3" s="30">
        <v>0</v>
      </c>
      <c r="D3" s="86"/>
      <c r="E3" s="87"/>
      <c r="F3" s="88"/>
      <c r="G3" s="89"/>
      <c r="H3" s="87"/>
      <c r="I3" s="88"/>
      <c r="J3" s="89"/>
      <c r="K3" s="87"/>
      <c r="L3" s="88"/>
      <c r="M3" s="89"/>
      <c r="N3" s="87"/>
      <c r="O3" s="90"/>
      <c r="P3" s="86"/>
      <c r="Q3" s="87"/>
      <c r="R3" s="88"/>
      <c r="S3" s="89"/>
      <c r="T3" s="87"/>
      <c r="U3" s="88"/>
      <c r="V3" s="89"/>
      <c r="W3" s="87"/>
      <c r="X3" s="88"/>
      <c r="Y3" s="89"/>
      <c r="Z3" s="87"/>
      <c r="AA3" s="90"/>
      <c r="AB3" s="86"/>
      <c r="AC3" s="87"/>
      <c r="AD3" s="88"/>
      <c r="AE3" s="89"/>
      <c r="AF3" s="87"/>
      <c r="AG3" s="88"/>
      <c r="AH3" s="89"/>
      <c r="AI3" s="87"/>
      <c r="AJ3" s="88"/>
      <c r="AK3" s="89"/>
      <c r="AL3" s="87"/>
      <c r="AM3" s="90"/>
    </row>
    <row r="4" spans="1:39" ht="19.5" customHeight="1" thickBot="1" x14ac:dyDescent="0.25">
      <c r="A4" s="85"/>
      <c r="B4" s="121"/>
      <c r="C4" s="44">
        <v>14</v>
      </c>
      <c r="D4" s="108"/>
      <c r="E4" s="109"/>
      <c r="F4" s="93"/>
      <c r="G4" s="94"/>
      <c r="H4" s="92"/>
      <c r="I4" s="93"/>
      <c r="J4" s="94"/>
      <c r="K4" s="92"/>
      <c r="L4" s="93"/>
      <c r="M4" s="94"/>
      <c r="N4" s="92"/>
      <c r="O4" s="95"/>
      <c r="P4" s="108"/>
      <c r="Q4" s="109"/>
      <c r="R4" s="110"/>
      <c r="S4" s="111"/>
      <c r="T4" s="109"/>
      <c r="U4" s="110"/>
      <c r="V4" s="111"/>
      <c r="W4" s="109"/>
      <c r="X4" s="110"/>
      <c r="Y4" s="111"/>
      <c r="Z4" s="109"/>
      <c r="AA4" s="112"/>
      <c r="AB4" s="91"/>
      <c r="AC4" s="92"/>
      <c r="AD4" s="93"/>
      <c r="AE4" s="94"/>
      <c r="AF4" s="92"/>
      <c r="AG4" s="93"/>
      <c r="AH4" s="94"/>
      <c r="AI4" s="92"/>
      <c r="AJ4" s="93"/>
      <c r="AK4" s="94"/>
      <c r="AL4" s="92"/>
      <c r="AM4" s="95"/>
    </row>
    <row r="5" spans="1:39" ht="19.5" customHeight="1" x14ac:dyDescent="0.2">
      <c r="B5" s="122" t="str">
        <f>Donnees!$C$21</f>
        <v>Daly Scrum</v>
      </c>
      <c r="C5" s="96">
        <v>0</v>
      </c>
      <c r="D5" s="86"/>
      <c r="E5" s="87"/>
      <c r="F5" s="88"/>
      <c r="G5" s="89"/>
      <c r="H5" s="87"/>
      <c r="I5" s="88"/>
      <c r="J5" s="89"/>
      <c r="K5" s="87"/>
      <c r="L5" s="88"/>
      <c r="M5" s="89"/>
      <c r="N5" s="87"/>
      <c r="O5" s="90"/>
      <c r="P5" s="86"/>
      <c r="Q5" s="87"/>
      <c r="R5" s="88"/>
      <c r="S5" s="89"/>
      <c r="T5" s="87"/>
      <c r="U5" s="88"/>
      <c r="V5" s="89"/>
      <c r="W5" s="87"/>
      <c r="X5" s="88"/>
      <c r="Y5" s="89"/>
      <c r="Z5" s="87"/>
      <c r="AA5" s="90"/>
      <c r="AB5" s="86"/>
      <c r="AC5" s="87"/>
      <c r="AD5" s="88"/>
      <c r="AE5" s="89"/>
      <c r="AF5" s="87"/>
      <c r="AG5" s="88"/>
      <c r="AH5" s="89"/>
      <c r="AI5" s="87"/>
      <c r="AJ5" s="88"/>
      <c r="AK5" s="89"/>
      <c r="AL5" s="87"/>
      <c r="AM5" s="90"/>
    </row>
    <row r="6" spans="1:39" ht="19.5" customHeight="1" thickBot="1" x14ac:dyDescent="0.25">
      <c r="B6" s="116"/>
      <c r="C6" s="97">
        <v>1</v>
      </c>
      <c r="D6" s="91"/>
      <c r="E6" s="92"/>
      <c r="F6" s="110"/>
      <c r="G6" s="94"/>
      <c r="H6" s="92"/>
      <c r="I6" s="93"/>
      <c r="J6" s="94"/>
      <c r="K6" s="92"/>
      <c r="L6" s="93"/>
      <c r="M6" s="94"/>
      <c r="N6" s="92"/>
      <c r="O6" s="95"/>
      <c r="P6" s="91"/>
      <c r="Q6" s="92"/>
      <c r="R6" s="93"/>
      <c r="S6" s="94"/>
      <c r="T6" s="92"/>
      <c r="U6" s="93"/>
      <c r="V6" s="94"/>
      <c r="W6" s="92"/>
      <c r="X6" s="93"/>
      <c r="Y6" s="94"/>
      <c r="Z6" s="92"/>
      <c r="AA6" s="95"/>
      <c r="AB6" s="91"/>
      <c r="AC6" s="92"/>
      <c r="AD6" s="93"/>
      <c r="AE6" s="94"/>
      <c r="AF6" s="92"/>
      <c r="AG6" s="93"/>
      <c r="AH6" s="94"/>
      <c r="AI6" s="92"/>
      <c r="AJ6" s="93"/>
      <c r="AK6" s="94"/>
      <c r="AL6" s="92"/>
      <c r="AM6" s="95"/>
    </row>
    <row r="7" spans="1:39" ht="19.5" customHeight="1" x14ac:dyDescent="0.2">
      <c r="B7" s="122" t="str">
        <f>Donnees!$C$22</f>
        <v>Réalisation de la maquette</v>
      </c>
      <c r="C7" s="96">
        <v>0</v>
      </c>
      <c r="D7" s="86"/>
      <c r="E7" s="87"/>
      <c r="F7" s="88"/>
      <c r="G7" s="89"/>
      <c r="H7" s="87"/>
      <c r="I7" s="88"/>
      <c r="J7" s="89"/>
      <c r="K7" s="87"/>
      <c r="L7" s="88"/>
      <c r="M7" s="89"/>
      <c r="N7" s="87"/>
      <c r="O7" s="90"/>
      <c r="P7" s="86"/>
      <c r="Q7" s="87"/>
      <c r="R7" s="88"/>
      <c r="S7" s="89"/>
      <c r="T7" s="87"/>
      <c r="U7" s="88"/>
      <c r="V7" s="89"/>
      <c r="W7" s="87"/>
      <c r="X7" s="88"/>
      <c r="Y7" s="89"/>
      <c r="Z7" s="87"/>
      <c r="AA7" s="90"/>
      <c r="AB7" s="86"/>
      <c r="AC7" s="87"/>
      <c r="AD7" s="88"/>
      <c r="AE7" s="89"/>
      <c r="AF7" s="87"/>
      <c r="AG7" s="88"/>
      <c r="AH7" s="89"/>
      <c r="AI7" s="87"/>
      <c r="AJ7" s="88"/>
      <c r="AK7" s="89"/>
      <c r="AL7" s="87"/>
      <c r="AM7" s="90"/>
    </row>
    <row r="8" spans="1:39" ht="19.5" customHeight="1" thickBot="1" x14ac:dyDescent="0.25">
      <c r="B8" s="116"/>
      <c r="C8" s="97">
        <v>0</v>
      </c>
      <c r="D8" s="91"/>
      <c r="E8" s="92"/>
      <c r="F8" s="93"/>
      <c r="G8" s="94"/>
      <c r="H8" s="92"/>
      <c r="I8" s="93"/>
      <c r="J8" s="94"/>
      <c r="K8" s="92"/>
      <c r="L8" s="93"/>
      <c r="M8" s="94"/>
      <c r="N8" s="92"/>
      <c r="O8" s="95"/>
      <c r="P8" s="91"/>
      <c r="Q8" s="92"/>
      <c r="R8" s="93"/>
      <c r="S8" s="94"/>
      <c r="T8" s="92"/>
      <c r="U8" s="93"/>
      <c r="V8" s="94"/>
      <c r="W8" s="92"/>
      <c r="X8" s="93"/>
      <c r="Y8" s="94"/>
      <c r="Z8" s="92"/>
      <c r="AA8" s="95"/>
      <c r="AB8" s="91"/>
      <c r="AC8" s="92"/>
      <c r="AD8" s="93"/>
      <c r="AE8" s="94"/>
      <c r="AF8" s="92"/>
      <c r="AG8" s="93"/>
      <c r="AH8" s="94"/>
      <c r="AI8" s="92"/>
      <c r="AJ8" s="93"/>
      <c r="AK8" s="94"/>
      <c r="AL8" s="92"/>
      <c r="AM8" s="95"/>
    </row>
    <row r="9" spans="1:39" ht="19.5" customHeight="1" x14ac:dyDescent="0.2">
      <c r="B9" s="115" t="str">
        <f>Donnees!$C$23</f>
        <v>Réalisation du code HTML</v>
      </c>
      <c r="C9" s="96">
        <v>0</v>
      </c>
      <c r="D9" s="86"/>
      <c r="E9" s="87"/>
      <c r="F9" s="88"/>
      <c r="G9" s="89"/>
      <c r="H9" s="87"/>
      <c r="I9" s="88"/>
      <c r="J9" s="89"/>
      <c r="K9" s="87"/>
      <c r="L9" s="88"/>
      <c r="M9" s="89"/>
      <c r="N9" s="87"/>
      <c r="O9" s="90"/>
      <c r="P9" s="86"/>
      <c r="Q9" s="87"/>
      <c r="R9" s="88"/>
      <c r="S9" s="89"/>
      <c r="T9" s="87"/>
      <c r="U9" s="88"/>
      <c r="V9" s="89"/>
      <c r="W9" s="87"/>
      <c r="X9" s="88"/>
      <c r="Y9" s="89"/>
      <c r="Z9" s="87"/>
      <c r="AA9" s="90"/>
      <c r="AB9" s="86"/>
      <c r="AC9" s="87"/>
      <c r="AD9" s="88"/>
      <c r="AE9" s="89"/>
      <c r="AF9" s="87"/>
      <c r="AG9" s="88"/>
      <c r="AH9" s="89"/>
      <c r="AI9" s="87"/>
      <c r="AJ9" s="88"/>
      <c r="AK9" s="89"/>
      <c r="AL9" s="87"/>
      <c r="AM9" s="90"/>
    </row>
    <row r="10" spans="1:39" ht="19.5" customHeight="1" thickBot="1" x14ac:dyDescent="0.25">
      <c r="B10" s="116"/>
      <c r="C10" s="97">
        <v>0</v>
      </c>
      <c r="D10" s="91"/>
      <c r="E10" s="92"/>
      <c r="F10" s="93"/>
      <c r="G10" s="94"/>
      <c r="H10" s="92"/>
      <c r="I10" s="93"/>
      <c r="J10" s="94"/>
      <c r="K10" s="92"/>
      <c r="L10" s="93"/>
      <c r="M10" s="94"/>
      <c r="N10" s="92"/>
      <c r="O10" s="95"/>
      <c r="P10" s="91"/>
      <c r="Q10" s="92"/>
      <c r="R10" s="93"/>
      <c r="S10" s="94"/>
      <c r="T10" s="92"/>
      <c r="U10" s="93"/>
      <c r="V10" s="94"/>
      <c r="W10" s="92"/>
      <c r="X10" s="93"/>
      <c r="Y10" s="94"/>
      <c r="Z10" s="92"/>
      <c r="AA10" s="95"/>
      <c r="AB10" s="91"/>
      <c r="AC10" s="92"/>
      <c r="AD10" s="93"/>
      <c r="AE10" s="94"/>
      <c r="AF10" s="92"/>
      <c r="AG10" s="93"/>
      <c r="AH10" s="94"/>
      <c r="AI10" s="92"/>
      <c r="AJ10" s="93"/>
      <c r="AK10" s="94"/>
      <c r="AL10" s="92"/>
      <c r="AM10" s="95"/>
    </row>
    <row r="11" spans="1:39" ht="19.5" customHeight="1" x14ac:dyDescent="0.2">
      <c r="B11" s="115" t="str">
        <f>Donnees!$C$24</f>
        <v>Réalisation du Code CSS</v>
      </c>
      <c r="C11" s="96">
        <v>0</v>
      </c>
      <c r="D11" s="86"/>
      <c r="E11" s="87"/>
      <c r="F11" s="88"/>
      <c r="G11" s="89"/>
      <c r="H11" s="87"/>
      <c r="I11" s="88"/>
      <c r="J11" s="89"/>
      <c r="K11" s="87"/>
      <c r="L11" s="88"/>
      <c r="M11" s="89"/>
      <c r="N11" s="87"/>
      <c r="O11" s="90"/>
      <c r="P11" s="86"/>
      <c r="Q11" s="87"/>
      <c r="R11" s="88"/>
      <c r="S11" s="89"/>
      <c r="T11" s="87"/>
      <c r="U11" s="88"/>
      <c r="V11" s="89"/>
      <c r="W11" s="87"/>
      <c r="X11" s="88"/>
      <c r="Y11" s="89"/>
      <c r="Z11" s="87"/>
      <c r="AA11" s="90"/>
      <c r="AB11" s="86"/>
      <c r="AC11" s="87"/>
      <c r="AD11" s="88"/>
      <c r="AE11" s="89"/>
      <c r="AF11" s="87"/>
      <c r="AG11" s="88"/>
      <c r="AH11" s="89"/>
      <c r="AI11" s="87"/>
      <c r="AJ11" s="88"/>
      <c r="AK11" s="89"/>
      <c r="AL11" s="87"/>
      <c r="AM11" s="90"/>
    </row>
    <row r="12" spans="1:39" ht="19.5" customHeight="1" thickBot="1" x14ac:dyDescent="0.25">
      <c r="B12" s="116"/>
      <c r="C12" s="97">
        <v>2</v>
      </c>
      <c r="D12" s="91"/>
      <c r="E12" s="92"/>
      <c r="F12" s="93"/>
      <c r="G12" s="94"/>
      <c r="H12" s="92"/>
      <c r="I12" s="93"/>
      <c r="J12" s="94"/>
      <c r="K12" s="92"/>
      <c r="L12" s="93"/>
      <c r="M12" s="111"/>
      <c r="N12" s="109"/>
      <c r="O12" s="95"/>
      <c r="P12" s="91"/>
      <c r="Q12" s="92"/>
      <c r="R12" s="93"/>
      <c r="S12" s="94"/>
      <c r="T12" s="92"/>
      <c r="U12" s="93"/>
      <c r="V12" s="94"/>
      <c r="W12" s="92"/>
      <c r="X12" s="93"/>
      <c r="Y12" s="94"/>
      <c r="Z12" s="92"/>
      <c r="AA12" s="95"/>
      <c r="AB12" s="91"/>
      <c r="AC12" s="92"/>
      <c r="AD12" s="93"/>
      <c r="AE12" s="94"/>
      <c r="AF12" s="92"/>
      <c r="AG12" s="93"/>
      <c r="AH12" s="94"/>
      <c r="AI12" s="92"/>
      <c r="AJ12" s="93"/>
      <c r="AK12" s="94"/>
      <c r="AL12" s="92"/>
      <c r="AM12" s="95"/>
    </row>
    <row r="13" spans="1:39" ht="19.5" customHeight="1" x14ac:dyDescent="0.2">
      <c r="B13" s="115" t="str">
        <f>Donnees!$C$25</f>
        <v>Recherche d'information sur internet</v>
      </c>
      <c r="C13" s="96">
        <v>0</v>
      </c>
      <c r="D13" s="86"/>
      <c r="E13" s="87"/>
      <c r="F13" s="88"/>
      <c r="G13" s="89"/>
      <c r="H13" s="87"/>
      <c r="I13" s="88"/>
      <c r="J13" s="89"/>
      <c r="K13" s="87"/>
      <c r="L13" s="88"/>
      <c r="M13" s="89"/>
      <c r="N13" s="87"/>
      <c r="O13" s="90"/>
      <c r="P13" s="86"/>
      <c r="Q13" s="87"/>
      <c r="R13" s="88"/>
      <c r="S13" s="89"/>
      <c r="T13" s="87"/>
      <c r="U13" s="88"/>
      <c r="V13" s="89"/>
      <c r="W13" s="87"/>
      <c r="X13" s="88"/>
      <c r="Y13" s="89"/>
      <c r="Z13" s="87"/>
      <c r="AA13" s="90"/>
      <c r="AB13" s="86"/>
      <c r="AC13" s="87"/>
      <c r="AD13" s="88"/>
      <c r="AE13" s="89"/>
      <c r="AF13" s="87"/>
      <c r="AG13" s="88"/>
      <c r="AH13" s="89"/>
      <c r="AI13" s="87"/>
      <c r="AJ13" s="88"/>
      <c r="AK13" s="89"/>
      <c r="AL13" s="87"/>
      <c r="AM13" s="90"/>
    </row>
    <row r="14" spans="1:39" ht="19.5" customHeight="1" thickBot="1" x14ac:dyDescent="0.25">
      <c r="B14" s="116"/>
      <c r="C14" s="97">
        <v>4</v>
      </c>
      <c r="D14" s="91"/>
      <c r="E14" s="92"/>
      <c r="F14" s="93"/>
      <c r="G14" s="111"/>
      <c r="H14" s="109"/>
      <c r="I14" s="110"/>
      <c r="J14" s="94"/>
      <c r="K14" s="92"/>
      <c r="L14" s="110"/>
      <c r="M14" s="94"/>
      <c r="N14" s="92"/>
      <c r="O14" s="95"/>
      <c r="P14" s="91"/>
      <c r="Q14" s="92"/>
      <c r="R14" s="93"/>
      <c r="S14" s="94"/>
      <c r="T14" s="92"/>
      <c r="U14" s="93"/>
      <c r="V14" s="94"/>
      <c r="W14" s="92"/>
      <c r="X14" s="93"/>
      <c r="Y14" s="94"/>
      <c r="Z14" s="92"/>
      <c r="AA14" s="95"/>
      <c r="AB14" s="91"/>
      <c r="AC14" s="92"/>
      <c r="AD14" s="93"/>
      <c r="AE14" s="94"/>
      <c r="AF14" s="92"/>
      <c r="AG14" s="93"/>
      <c r="AH14" s="94"/>
      <c r="AI14" s="92"/>
      <c r="AJ14" s="93"/>
      <c r="AK14" s="94"/>
      <c r="AL14" s="92"/>
      <c r="AM14" s="95"/>
    </row>
    <row r="15" spans="1:39" ht="19.5" customHeight="1" x14ac:dyDescent="0.2">
      <c r="B15" s="115" t="str">
        <f>Donnees!$C$26</f>
        <v>Autre</v>
      </c>
      <c r="C15" s="96">
        <v>0</v>
      </c>
      <c r="D15" s="86"/>
      <c r="E15" s="87"/>
      <c r="F15" s="88"/>
      <c r="G15" s="89"/>
      <c r="H15" s="87"/>
      <c r="I15" s="88"/>
      <c r="J15" s="89"/>
      <c r="K15" s="87"/>
      <c r="L15" s="88"/>
      <c r="M15" s="89"/>
      <c r="N15" s="87"/>
      <c r="O15" s="90"/>
      <c r="P15" s="86"/>
      <c r="Q15" s="87"/>
      <c r="R15" s="88"/>
      <c r="S15" s="89"/>
      <c r="T15" s="87"/>
      <c r="U15" s="88"/>
      <c r="V15" s="89"/>
      <c r="W15" s="87"/>
      <c r="X15" s="88"/>
      <c r="Y15" s="89"/>
      <c r="Z15" s="87"/>
      <c r="AA15" s="90"/>
      <c r="AB15" s="86"/>
      <c r="AC15" s="87"/>
      <c r="AD15" s="88"/>
      <c r="AE15" s="89"/>
      <c r="AF15" s="87"/>
      <c r="AG15" s="88"/>
      <c r="AH15" s="89"/>
      <c r="AI15" s="87"/>
      <c r="AJ15" s="88"/>
      <c r="AK15" s="89"/>
      <c r="AL15" s="87"/>
      <c r="AM15" s="90"/>
    </row>
    <row r="16" spans="1:39" ht="19.5" customHeight="1" thickBot="1" x14ac:dyDescent="0.25">
      <c r="A16" s="104"/>
      <c r="B16" s="116"/>
      <c r="C16" s="97">
        <v>2</v>
      </c>
      <c r="D16" s="91"/>
      <c r="E16" s="92"/>
      <c r="F16" s="93"/>
      <c r="G16" s="94"/>
      <c r="H16" s="92"/>
      <c r="I16" s="93"/>
      <c r="J16" s="111"/>
      <c r="K16" s="109"/>
      <c r="L16" s="93"/>
      <c r="M16" s="94"/>
      <c r="N16" s="92"/>
      <c r="O16" s="95"/>
      <c r="P16" s="91"/>
      <c r="Q16" s="92"/>
      <c r="R16" s="93"/>
      <c r="S16" s="94"/>
      <c r="T16" s="92"/>
      <c r="U16" s="93"/>
      <c r="V16" s="94"/>
      <c r="W16" s="92"/>
      <c r="X16" s="93"/>
      <c r="Y16" s="94"/>
      <c r="Z16" s="92"/>
      <c r="AA16" s="95"/>
      <c r="AB16" s="91"/>
      <c r="AC16" s="92"/>
      <c r="AD16" s="93"/>
      <c r="AE16" s="94"/>
      <c r="AF16" s="92"/>
      <c r="AG16" s="93"/>
      <c r="AH16" s="94"/>
      <c r="AI16" s="92"/>
      <c r="AJ16" s="93"/>
      <c r="AK16" s="94"/>
      <c r="AL16" s="92"/>
      <c r="AM16" s="95"/>
    </row>
    <row r="17" spans="2:39" ht="19.5" customHeight="1" x14ac:dyDescent="0.2">
      <c r="B17" s="115" t="str">
        <f>Donnees!$C$27</f>
        <v>JDT</v>
      </c>
      <c r="C17" s="96">
        <v>0</v>
      </c>
      <c r="D17" s="86"/>
      <c r="E17" s="87"/>
      <c r="F17" s="88"/>
      <c r="G17" s="89"/>
      <c r="H17" s="87"/>
      <c r="I17" s="88"/>
      <c r="J17" s="89"/>
      <c r="K17" s="87"/>
      <c r="L17" s="88"/>
      <c r="M17" s="89"/>
      <c r="N17" s="87"/>
      <c r="O17" s="90"/>
      <c r="P17" s="86"/>
      <c r="Q17" s="87"/>
      <c r="R17" s="88"/>
      <c r="S17" s="89"/>
      <c r="T17" s="87"/>
      <c r="U17" s="88"/>
      <c r="V17" s="89"/>
      <c r="W17" s="87"/>
      <c r="X17" s="88"/>
      <c r="Y17" s="89"/>
      <c r="Z17" s="87"/>
      <c r="AA17" s="90"/>
      <c r="AB17" s="86"/>
      <c r="AC17" s="87"/>
      <c r="AD17" s="88"/>
      <c r="AE17" s="89"/>
      <c r="AF17" s="87"/>
      <c r="AG17" s="88"/>
      <c r="AH17" s="89"/>
      <c r="AI17" s="87"/>
      <c r="AJ17" s="88"/>
      <c r="AK17" s="89"/>
      <c r="AL17" s="87"/>
      <c r="AM17" s="90"/>
    </row>
    <row r="18" spans="2:39" ht="19.5" customHeight="1" x14ac:dyDescent="0.2">
      <c r="B18" s="116"/>
      <c r="C18" s="97">
        <v>1</v>
      </c>
      <c r="D18" s="91"/>
      <c r="E18" s="92"/>
      <c r="F18" s="93"/>
      <c r="G18" s="94"/>
      <c r="H18" s="92"/>
      <c r="I18" s="93"/>
      <c r="J18" s="94"/>
      <c r="K18" s="92"/>
      <c r="L18" s="93"/>
      <c r="M18" s="94"/>
      <c r="N18" s="92"/>
      <c r="O18" s="112"/>
      <c r="P18" s="91"/>
      <c r="Q18" s="92"/>
      <c r="R18" s="93"/>
      <c r="S18" s="94"/>
      <c r="T18" s="92"/>
      <c r="U18" s="93"/>
      <c r="V18" s="94"/>
      <c r="W18" s="92"/>
      <c r="X18" s="93"/>
      <c r="Y18" s="94"/>
      <c r="Z18" s="92"/>
      <c r="AA18" s="95"/>
      <c r="AB18" s="91"/>
      <c r="AC18" s="92"/>
      <c r="AD18" s="93"/>
      <c r="AE18" s="94"/>
      <c r="AF18" s="92"/>
      <c r="AG18" s="93"/>
      <c r="AH18" s="94"/>
      <c r="AI18" s="92"/>
      <c r="AJ18" s="93"/>
      <c r="AK18" s="94"/>
      <c r="AL18" s="92"/>
      <c r="AM18" s="95"/>
    </row>
    <row r="19" spans="2:39" ht="19.5" customHeight="1" x14ac:dyDescent="0.2">
      <c r="B19" s="47" t="s">
        <v>16</v>
      </c>
      <c r="C19" s="49">
        <f>SUM($C$3,$C$5,$C$7,$C$9,$C$11,$C$13,$C$15,$C$17)</f>
        <v>0</v>
      </c>
      <c r="D19" s="98"/>
      <c r="E19" s="99"/>
      <c r="F19" s="99"/>
      <c r="G19" s="99"/>
      <c r="H19" s="99"/>
      <c r="I19" s="99"/>
      <c r="J19" s="99"/>
      <c r="K19" s="99"/>
      <c r="L19" s="99"/>
      <c r="M19" s="99"/>
      <c r="N19" s="99"/>
      <c r="O19" s="100"/>
      <c r="P19" s="98"/>
      <c r="Q19" s="99"/>
      <c r="R19" s="99"/>
      <c r="S19" s="99"/>
      <c r="T19" s="99"/>
      <c r="U19" s="99"/>
      <c r="V19" s="99"/>
      <c r="W19" s="99"/>
      <c r="X19" s="99"/>
      <c r="Y19" s="99"/>
      <c r="Z19" s="99"/>
      <c r="AA19" s="100"/>
      <c r="AB19" s="98"/>
      <c r="AC19" s="99"/>
      <c r="AD19" s="99"/>
      <c r="AE19" s="99"/>
      <c r="AF19" s="99"/>
      <c r="AG19" s="99"/>
      <c r="AH19" s="99"/>
      <c r="AI19" s="99"/>
      <c r="AJ19" s="99"/>
      <c r="AK19" s="99"/>
      <c r="AL19" s="99"/>
      <c r="AM19" s="100"/>
    </row>
    <row r="20" spans="2:39" ht="19.5" customHeight="1" thickBot="1" x14ac:dyDescent="0.25">
      <c r="B20" s="48" t="s">
        <v>17</v>
      </c>
      <c r="C20" s="50">
        <f>SUM($C$4,$C$6,$C$8,$C$10,$C$12,$C$14,$C$16,$C$18)</f>
        <v>24</v>
      </c>
      <c r="D20" s="101"/>
      <c r="E20" s="102"/>
      <c r="F20" s="102"/>
      <c r="G20" s="102"/>
      <c r="H20" s="102"/>
      <c r="I20" s="102"/>
      <c r="J20" s="102"/>
      <c r="K20" s="102"/>
      <c r="L20" s="102"/>
      <c r="M20" s="102"/>
      <c r="N20" s="102"/>
      <c r="O20" s="103"/>
      <c r="P20" s="101"/>
      <c r="Q20" s="102"/>
      <c r="R20" s="102"/>
      <c r="S20" s="102"/>
      <c r="T20" s="102"/>
      <c r="U20" s="102"/>
      <c r="V20" s="102"/>
      <c r="W20" s="102"/>
      <c r="X20" s="102"/>
      <c r="Y20" s="102"/>
      <c r="Z20" s="102"/>
      <c r="AA20" s="103"/>
      <c r="AB20" s="101"/>
      <c r="AC20" s="102"/>
      <c r="AD20" s="102"/>
      <c r="AE20" s="102"/>
      <c r="AF20" s="102"/>
      <c r="AG20" s="102"/>
      <c r="AH20" s="102"/>
      <c r="AI20" s="102"/>
      <c r="AJ20" s="102"/>
      <c r="AK20" s="102"/>
      <c r="AL20" s="102"/>
      <c r="AM20" s="103"/>
    </row>
  </sheetData>
  <sheetProtection sheet="1" objects="1" scenarios="1" insertRows="0" selectLockedCells="1"/>
  <mergeCells count="11">
    <mergeCell ref="B15:B16"/>
    <mergeCell ref="B17:B18"/>
    <mergeCell ref="D2:O2"/>
    <mergeCell ref="P2:AA2"/>
    <mergeCell ref="AB2:AM2"/>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19">
      <formula1>0</formula1>
      <formula2>$C$9</formula2>
    </dataValidation>
  </dataValidations>
  <printOptions horizontalCentered="1" verticalCentered="1"/>
  <pageMargins left="0.25" right="0.25" top="0.75" bottom="0.75" header="0.3" footer="0.3"/>
  <pageSetup paperSize="9" scale="97"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0" t="s">
        <v>21</v>
      </c>
      <c r="C3" s="30">
        <v>0</v>
      </c>
    </row>
    <row r="4" spans="1:4" ht="19.5" customHeight="1" x14ac:dyDescent="0.2">
      <c r="A4" s="34"/>
      <c r="B4" s="123"/>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58"/>
  <sheetViews>
    <sheetView tabSelected="1" view="pageBreakPreview" zoomScale="130" zoomScaleNormal="100" zoomScaleSheetLayoutView="130" workbookViewId="0">
      <selection activeCell="D15" sqref="D15"/>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42706</v>
      </c>
    </row>
    <row r="2" spans="1:4" ht="27.75" thickBot="1" x14ac:dyDescent="0.25">
      <c r="A2" s="74" t="s">
        <v>3</v>
      </c>
      <c r="B2" s="75" t="s">
        <v>15</v>
      </c>
      <c r="C2" s="74" t="s">
        <v>7</v>
      </c>
      <c r="D2" s="74" t="s">
        <v>13</v>
      </c>
    </row>
    <row r="3" spans="1:4" s="81" customFormat="1" ht="14.25" thickBot="1" x14ac:dyDescent="0.25">
      <c r="A3" s="9" t="s">
        <v>21</v>
      </c>
      <c r="B3" s="8">
        <v>2</v>
      </c>
      <c r="C3" s="13" t="s">
        <v>38</v>
      </c>
      <c r="D3" s="13"/>
    </row>
    <row r="4" spans="1:4" s="81" customFormat="1" ht="14.25" thickBot="1" x14ac:dyDescent="0.25">
      <c r="A4" s="9" t="s">
        <v>37</v>
      </c>
      <c r="B4" s="8">
        <v>1</v>
      </c>
      <c r="C4" s="13" t="s">
        <v>39</v>
      </c>
      <c r="D4" s="14"/>
    </row>
    <row r="5" spans="1:4" s="81" customFormat="1" ht="54" x14ac:dyDescent="0.2">
      <c r="A5" s="9" t="s">
        <v>31</v>
      </c>
      <c r="B5" s="8">
        <v>3</v>
      </c>
      <c r="C5" s="13" t="s">
        <v>40</v>
      </c>
      <c r="D5" s="14"/>
    </row>
    <row r="6" spans="1:4" s="81" customFormat="1" ht="40.5" x14ac:dyDescent="0.2">
      <c r="A6" s="5" t="s">
        <v>41</v>
      </c>
      <c r="B6" s="6">
        <v>2</v>
      </c>
      <c r="C6" s="14" t="s">
        <v>42</v>
      </c>
      <c r="D6" s="14" t="s">
        <v>51</v>
      </c>
    </row>
    <row r="7" spans="1:4" s="81" customFormat="1" ht="40.5" x14ac:dyDescent="0.2">
      <c r="A7" s="5" t="s">
        <v>31</v>
      </c>
      <c r="B7" s="6">
        <v>1</v>
      </c>
      <c r="C7" s="14" t="s">
        <v>44</v>
      </c>
      <c r="D7" s="14"/>
    </row>
    <row r="8" spans="1:4" s="81" customFormat="1" ht="27" x14ac:dyDescent="0.2">
      <c r="A8" s="5" t="s">
        <v>30</v>
      </c>
      <c r="B8" s="6">
        <v>1</v>
      </c>
      <c r="C8" s="14" t="s">
        <v>43</v>
      </c>
      <c r="D8" s="14" t="s">
        <v>50</v>
      </c>
    </row>
    <row r="9" spans="1:4" s="81" customFormat="1" ht="27" x14ac:dyDescent="0.2">
      <c r="A9" s="5" t="s">
        <v>30</v>
      </c>
      <c r="B9" s="6">
        <v>1</v>
      </c>
      <c r="C9" s="14" t="s">
        <v>48</v>
      </c>
      <c r="D9" s="14" t="s">
        <v>50</v>
      </c>
    </row>
    <row r="10" spans="1:4" s="81" customFormat="1" ht="13.5" x14ac:dyDescent="0.2">
      <c r="A10" s="5" t="s">
        <v>45</v>
      </c>
      <c r="B10" s="6">
        <v>1</v>
      </c>
      <c r="C10" s="14" t="s">
        <v>46</v>
      </c>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12</v>
      </c>
      <c r="C18" s="107" t="s">
        <v>35</v>
      </c>
      <c r="D18" s="77"/>
    </row>
    <row r="19" spans="1:9" ht="15" thickBot="1" x14ac:dyDescent="0.35">
      <c r="A19" s="78"/>
      <c r="B19" s="78"/>
      <c r="C19" s="78"/>
      <c r="D19" s="78"/>
    </row>
    <row r="20" spans="1:9" ht="18.75" thickBot="1" x14ac:dyDescent="0.25">
      <c r="A20" s="71" t="s">
        <v>14</v>
      </c>
      <c r="B20" s="72">
        <v>2</v>
      </c>
      <c r="C20" s="73" t="s">
        <v>23</v>
      </c>
      <c r="D20" s="82">
        <v>42713</v>
      </c>
    </row>
    <row r="21" spans="1:9" ht="27.75" thickBot="1" x14ac:dyDescent="0.25">
      <c r="A21" s="74" t="s">
        <v>3</v>
      </c>
      <c r="B21" s="75" t="s">
        <v>15</v>
      </c>
      <c r="C21" s="74" t="s">
        <v>7</v>
      </c>
      <c r="D21" s="74" t="s">
        <v>13</v>
      </c>
    </row>
    <row r="22" spans="1:9" ht="13.5" x14ac:dyDescent="0.2">
      <c r="A22" s="9" t="s">
        <v>21</v>
      </c>
      <c r="B22" s="8">
        <v>12</v>
      </c>
      <c r="C22" s="13" t="s">
        <v>47</v>
      </c>
      <c r="D22" s="13"/>
    </row>
    <row r="23" spans="1:9" ht="13.5" x14ac:dyDescent="0.2">
      <c r="A23" s="5"/>
      <c r="B23" s="6"/>
      <c r="C23" s="14"/>
      <c r="D23" s="14"/>
    </row>
    <row r="24" spans="1:9" ht="13.5" x14ac:dyDescent="0.2">
      <c r="A24" s="5"/>
      <c r="B24" s="6"/>
      <c r="C24" s="14"/>
      <c r="D24" s="14"/>
      <c r="E24" s="37"/>
      <c r="F24" s="37"/>
      <c r="G24" s="37"/>
      <c r="H24" s="37"/>
      <c r="I24" s="37"/>
    </row>
    <row r="25" spans="1:9" ht="12.75" customHeight="1" x14ac:dyDescent="0.2">
      <c r="A25" s="5"/>
      <c r="B25" s="6"/>
      <c r="C25" s="14"/>
      <c r="D25" s="14"/>
      <c r="E25" s="37"/>
      <c r="F25" s="54"/>
      <c r="G25" s="55"/>
      <c r="H25" s="56"/>
      <c r="I25" s="37"/>
    </row>
    <row r="26" spans="1:9" ht="15" x14ac:dyDescent="0.2">
      <c r="A26" s="5"/>
      <c r="B26" s="6"/>
      <c r="C26" s="14"/>
      <c r="D26" s="14"/>
      <c r="E26" s="37"/>
      <c r="F26" s="57"/>
      <c r="G26" s="53"/>
      <c r="H26" s="53"/>
      <c r="I26" s="37"/>
    </row>
    <row r="27" spans="1:9" ht="13.5" x14ac:dyDescent="0.2">
      <c r="A27" s="5"/>
      <c r="B27" s="6"/>
      <c r="C27" s="14"/>
      <c r="D27" s="14"/>
      <c r="E27" s="37"/>
      <c r="F27" s="59"/>
      <c r="G27" s="60"/>
      <c r="H27" s="60"/>
      <c r="I27" s="37"/>
    </row>
    <row r="28" spans="1:9" ht="13.5" x14ac:dyDescent="0.2">
      <c r="A28" s="5"/>
      <c r="B28" s="6"/>
      <c r="C28" s="14"/>
      <c r="D28" s="14"/>
      <c r="E28" s="37"/>
      <c r="F28" s="59"/>
      <c r="G28" s="60"/>
      <c r="H28" s="60"/>
      <c r="I28" s="37"/>
    </row>
    <row r="29" spans="1:9" ht="13.5" x14ac:dyDescent="0.2">
      <c r="A29" s="5"/>
      <c r="B29" s="6"/>
      <c r="C29" s="14"/>
      <c r="D29" s="14"/>
      <c r="E29" s="37"/>
      <c r="F29" s="59"/>
      <c r="G29" s="60"/>
      <c r="H29" s="60"/>
      <c r="I29" s="37"/>
    </row>
    <row r="30" spans="1:9" ht="13.5" x14ac:dyDescent="0.2">
      <c r="A30" s="5"/>
      <c r="B30" s="6"/>
      <c r="C30" s="14"/>
      <c r="D30" s="14"/>
      <c r="E30" s="37"/>
      <c r="F30" s="59"/>
      <c r="G30" s="60"/>
      <c r="H30" s="60"/>
      <c r="I30" s="37"/>
    </row>
    <row r="31" spans="1:9" ht="13.5" x14ac:dyDescent="0.2">
      <c r="A31" s="6"/>
      <c r="B31" s="6"/>
      <c r="C31" s="14"/>
      <c r="D31" s="14"/>
      <c r="E31" s="37"/>
      <c r="F31" s="59"/>
      <c r="G31" s="60"/>
      <c r="H31" s="60"/>
      <c r="I31" s="37"/>
    </row>
    <row r="32" spans="1:9" ht="13.5" x14ac:dyDescent="0.2">
      <c r="A32" s="6"/>
      <c r="B32" s="6"/>
      <c r="C32" s="14"/>
      <c r="D32" s="14"/>
      <c r="E32" s="37"/>
      <c r="F32" s="59"/>
      <c r="G32" s="60"/>
      <c r="H32" s="60"/>
      <c r="I32" s="37"/>
    </row>
    <row r="33" spans="1:9" ht="13.5" x14ac:dyDescent="0.2">
      <c r="A33" s="6"/>
      <c r="B33" s="6"/>
      <c r="C33" s="14"/>
      <c r="D33" s="14"/>
      <c r="E33" s="37"/>
      <c r="F33" s="59"/>
      <c r="G33" s="60"/>
      <c r="H33" s="60"/>
      <c r="I33" s="37"/>
    </row>
    <row r="34" spans="1:9" ht="13.5" x14ac:dyDescent="0.2">
      <c r="A34" s="79"/>
      <c r="B34" s="79"/>
      <c r="C34" s="80"/>
      <c r="D34" s="80"/>
      <c r="E34" s="37"/>
      <c r="F34" s="59"/>
      <c r="G34" s="60"/>
      <c r="H34" s="60"/>
      <c r="I34" s="37"/>
    </row>
    <row r="35" spans="1:9" ht="13.5" x14ac:dyDescent="0.2">
      <c r="A35" s="79"/>
      <c r="B35" s="79"/>
      <c r="C35" s="80"/>
      <c r="D35" s="80"/>
      <c r="E35" s="37"/>
      <c r="F35" s="61"/>
      <c r="G35" s="62"/>
      <c r="H35" s="62"/>
      <c r="I35" s="37"/>
    </row>
    <row r="36" spans="1:9" ht="15" thickBot="1" x14ac:dyDescent="0.35">
      <c r="A36" s="7"/>
      <c r="B36" s="7"/>
      <c r="C36" s="15"/>
      <c r="D36" s="15"/>
      <c r="E36" s="37"/>
      <c r="F36" s="63"/>
      <c r="G36" s="63"/>
      <c r="H36" s="63"/>
      <c r="I36" s="37"/>
    </row>
    <row r="37" spans="1:9" ht="14.25" thickBot="1" x14ac:dyDescent="0.25">
      <c r="A37" s="76" t="s">
        <v>22</v>
      </c>
      <c r="B37" s="76">
        <f>SUM(B22:B36)</f>
        <v>12</v>
      </c>
      <c r="C37" s="107" t="s">
        <v>35</v>
      </c>
      <c r="D37" s="77"/>
      <c r="E37" s="37"/>
      <c r="F37" s="37"/>
      <c r="G37" s="37"/>
      <c r="H37" s="37"/>
      <c r="I37" s="37"/>
    </row>
    <row r="38" spans="1:9" ht="15" thickBot="1" x14ac:dyDescent="0.35">
      <c r="A38" s="78"/>
      <c r="B38" s="78"/>
      <c r="C38" s="78"/>
      <c r="D38" s="78"/>
      <c r="E38" s="37"/>
      <c r="F38" s="37"/>
      <c r="G38" s="37"/>
      <c r="H38" s="37"/>
      <c r="I38" s="37"/>
    </row>
    <row r="39" spans="1:9" ht="18.75" thickBot="1" x14ac:dyDescent="0.25">
      <c r="A39" s="71" t="s">
        <v>14</v>
      </c>
      <c r="B39" s="72">
        <v>3</v>
      </c>
      <c r="C39" s="73" t="s">
        <v>23</v>
      </c>
      <c r="D39" s="82">
        <v>42720</v>
      </c>
      <c r="E39" s="37"/>
      <c r="F39" s="37"/>
      <c r="G39" s="37"/>
      <c r="H39" s="37"/>
      <c r="I39" s="37"/>
    </row>
    <row r="40" spans="1:9" ht="27.75" thickBot="1" x14ac:dyDescent="0.25">
      <c r="A40" s="74" t="s">
        <v>3</v>
      </c>
      <c r="B40" s="75" t="s">
        <v>15</v>
      </c>
      <c r="C40" s="74" t="s">
        <v>7</v>
      </c>
      <c r="D40" s="74" t="s">
        <v>13</v>
      </c>
    </row>
    <row r="41" spans="1:9" ht="13.5" x14ac:dyDescent="0.2">
      <c r="A41" s="9"/>
      <c r="B41" s="8"/>
      <c r="C41" s="13"/>
      <c r="D41" s="13"/>
    </row>
    <row r="42" spans="1:9" ht="13.5" x14ac:dyDescent="0.2">
      <c r="A42" s="5"/>
      <c r="B42" s="6"/>
      <c r="C42" s="14"/>
      <c r="D42" s="14"/>
    </row>
    <row r="43" spans="1:9" ht="13.5" x14ac:dyDescent="0.2">
      <c r="A43" s="5"/>
      <c r="B43" s="6"/>
      <c r="C43" s="14"/>
      <c r="D43" s="14"/>
    </row>
    <row r="44" spans="1:9" ht="13.5" x14ac:dyDescent="0.2">
      <c r="A44" s="5"/>
      <c r="B44" s="6"/>
      <c r="C44" s="14"/>
      <c r="D44" s="14"/>
    </row>
    <row r="45" spans="1:9" ht="13.5" x14ac:dyDescent="0.2">
      <c r="A45" s="5"/>
      <c r="B45" s="6"/>
      <c r="C45" s="14"/>
      <c r="D45" s="14"/>
    </row>
    <row r="46" spans="1:9" ht="13.5" x14ac:dyDescent="0.2">
      <c r="A46" s="5"/>
      <c r="B46" s="6"/>
      <c r="C46" s="14"/>
      <c r="D46" s="14"/>
    </row>
    <row r="47" spans="1:9" ht="13.5" x14ac:dyDescent="0.2">
      <c r="A47" s="5"/>
      <c r="B47" s="6"/>
      <c r="C47" s="14"/>
      <c r="D47" s="14"/>
    </row>
    <row r="48" spans="1:9" ht="13.5" x14ac:dyDescent="0.2">
      <c r="A48" s="5"/>
      <c r="B48" s="6"/>
      <c r="C48" s="14"/>
      <c r="D48" s="14"/>
    </row>
    <row r="49" spans="1:4" ht="13.5" x14ac:dyDescent="0.2">
      <c r="A49" s="5"/>
      <c r="B49" s="6"/>
      <c r="C49" s="14"/>
      <c r="D49" s="14"/>
    </row>
    <row r="50" spans="1:4" ht="13.5" x14ac:dyDescent="0.2">
      <c r="A50" s="6"/>
      <c r="B50" s="6"/>
      <c r="C50" s="14"/>
      <c r="D50" s="14"/>
    </row>
    <row r="51" spans="1:4" ht="13.5" x14ac:dyDescent="0.2">
      <c r="A51" s="6"/>
      <c r="B51" s="6"/>
      <c r="C51" s="14"/>
      <c r="D51" s="14"/>
    </row>
    <row r="52" spans="1:4" ht="13.5" x14ac:dyDescent="0.2">
      <c r="A52" s="6"/>
      <c r="B52" s="6"/>
      <c r="C52" s="14"/>
      <c r="D52" s="14"/>
    </row>
    <row r="53" spans="1:4" ht="13.5" x14ac:dyDescent="0.2">
      <c r="A53" s="79"/>
      <c r="B53" s="79"/>
      <c r="C53" s="80"/>
      <c r="D53" s="80"/>
    </row>
    <row r="54" spans="1:4" ht="13.5" x14ac:dyDescent="0.2">
      <c r="A54" s="79"/>
      <c r="B54" s="79"/>
      <c r="C54" s="80"/>
      <c r="D54" s="80"/>
    </row>
    <row r="55" spans="1:4" ht="14.25" thickBot="1" x14ac:dyDescent="0.25">
      <c r="A55" s="7"/>
      <c r="B55" s="7"/>
      <c r="C55" s="15"/>
      <c r="D55" s="15"/>
    </row>
    <row r="56" spans="1:4" ht="14.25" thickBot="1" x14ac:dyDescent="0.25">
      <c r="A56" s="76" t="s">
        <v>22</v>
      </c>
      <c r="B56" s="76">
        <f>SUM(B41:B55)</f>
        <v>0</v>
      </c>
      <c r="C56" s="107" t="s">
        <v>35</v>
      </c>
      <c r="D56" s="77"/>
    </row>
    <row r="57" spans="1:4" ht="14.25" x14ac:dyDescent="0.3">
      <c r="A57" s="78"/>
      <c r="B57" s="78"/>
      <c r="C57" s="78"/>
      <c r="D57" s="78"/>
    </row>
    <row r="58" spans="1:4" x14ac:dyDescent="0.2">
      <c r="A58" s="106" t="s">
        <v>36</v>
      </c>
    </row>
  </sheetData>
  <sheetProtection sheet="1" objects="1" scenarios="1"/>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formula1>0</formula1>
      <formula2>NbPerWeek * NbQuartPer</formula2>
    </dataValidation>
    <dataValidation type="list" allowBlank="1" showInputMessage="1" showErrorMessage="1" sqref="A3:A17 A22:A36 A41:A55">
      <formula1>lstTasks</formula1>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403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43"/>
  <sheetViews>
    <sheetView view="pageBreakPreview" zoomScale="60" zoomScaleNormal="100"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05" t="s">
        <v>35</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13.5" x14ac:dyDescent="0.2">
      <c r="A17" s="9"/>
      <c r="B17" s="8"/>
      <c r="C17" s="13"/>
      <c r="D17" s="13"/>
    </row>
    <row r="18" spans="1:9" ht="13.5" x14ac:dyDescent="0.2">
      <c r="A18" s="5"/>
      <c r="B18" s="6"/>
      <c r="C18" s="14"/>
      <c r="D18" s="14"/>
    </row>
    <row r="19" spans="1:9" ht="13.5" x14ac:dyDescent="0.2">
      <c r="A19" s="5"/>
      <c r="B19" s="6"/>
      <c r="C19" s="14"/>
      <c r="D19" s="14"/>
      <c r="E19" s="37"/>
      <c r="F19" s="37"/>
      <c r="G19" s="37"/>
      <c r="H19" s="37"/>
      <c r="I19" s="37"/>
    </row>
    <row r="20" spans="1:9" ht="12.75" customHeight="1" x14ac:dyDescent="0.2">
      <c r="A20" s="5"/>
      <c r="B20" s="6"/>
      <c r="C20" s="14"/>
      <c r="D20" s="14"/>
      <c r="E20" s="37"/>
      <c r="F20" s="54"/>
      <c r="G20" s="55"/>
      <c r="H20" s="56"/>
      <c r="I20" s="37"/>
    </row>
    <row r="21" spans="1:9" ht="15" x14ac:dyDescent="0.2">
      <c r="A21" s="5"/>
      <c r="B21" s="6"/>
      <c r="C21" s="14"/>
      <c r="D21" s="14"/>
      <c r="E21" s="37"/>
      <c r="F21" s="57"/>
      <c r="G21" s="53"/>
      <c r="H21" s="53"/>
      <c r="I21" s="37"/>
    </row>
    <row r="22" spans="1:9" ht="13.5" x14ac:dyDescent="0.2">
      <c r="A22" s="5"/>
      <c r="B22" s="6"/>
      <c r="C22" s="14"/>
      <c r="D22" s="14"/>
      <c r="E22" s="37"/>
      <c r="F22" s="59"/>
      <c r="G22" s="60"/>
      <c r="H22" s="60"/>
      <c r="I22" s="37"/>
    </row>
    <row r="23" spans="1:9" ht="13.5" x14ac:dyDescent="0.2">
      <c r="A23" s="6"/>
      <c r="B23" s="6"/>
      <c r="C23" s="14"/>
      <c r="D23" s="14"/>
      <c r="E23" s="37"/>
      <c r="F23" s="59"/>
      <c r="G23" s="60"/>
      <c r="H23" s="60"/>
      <c r="I23" s="37"/>
    </row>
    <row r="24" spans="1:9" ht="13.5" x14ac:dyDescent="0.2">
      <c r="A24" s="6"/>
      <c r="B24" s="6"/>
      <c r="C24" s="14"/>
      <c r="D24" s="14"/>
      <c r="E24" s="37"/>
      <c r="F24" s="59"/>
      <c r="G24" s="60"/>
      <c r="H24" s="60"/>
      <c r="I24" s="37"/>
    </row>
    <row r="25" spans="1:9" ht="13.5" x14ac:dyDescent="0.2">
      <c r="A25" s="6"/>
      <c r="B25" s="6"/>
      <c r="C25" s="14"/>
      <c r="D25" s="14"/>
      <c r="E25" s="37"/>
      <c r="F25" s="59"/>
      <c r="G25" s="60"/>
      <c r="H25" s="60"/>
      <c r="I25" s="37"/>
    </row>
    <row r="26" spans="1:9" ht="14.25" thickBot="1" x14ac:dyDescent="0.25">
      <c r="A26" s="7"/>
      <c r="B26" s="7"/>
      <c r="C26" s="15"/>
      <c r="D26" s="15"/>
      <c r="E26" s="37"/>
      <c r="F26" s="59"/>
      <c r="G26" s="60"/>
      <c r="H26" s="60"/>
      <c r="I26" s="37"/>
    </row>
    <row r="27" spans="1:9" ht="14.25" thickBot="1" x14ac:dyDescent="0.25">
      <c r="A27" s="16" t="s">
        <v>22</v>
      </c>
      <c r="B27" s="16">
        <f>SUM(B17:B26)</f>
        <v>0</v>
      </c>
      <c r="C27" s="105" t="s">
        <v>35</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14.25" x14ac:dyDescent="0.3">
      <c r="A31" s="9"/>
      <c r="B31" s="8"/>
      <c r="C31" s="13"/>
      <c r="D31" s="13"/>
      <c r="E31" s="37"/>
      <c r="F31" s="63"/>
      <c r="G31" s="63"/>
      <c r="H31" s="63"/>
      <c r="I31" s="37"/>
    </row>
    <row r="32" spans="1:9" ht="13.5" x14ac:dyDescent="0.2">
      <c r="A32" s="5"/>
      <c r="B32" s="6"/>
      <c r="C32" s="14"/>
      <c r="D32" s="14"/>
      <c r="E32" s="37"/>
      <c r="F32" s="37"/>
      <c r="G32" s="37"/>
      <c r="H32" s="37"/>
      <c r="I32" s="37"/>
    </row>
    <row r="33" spans="1:9" ht="13.5" x14ac:dyDescent="0.2">
      <c r="A33" s="5"/>
      <c r="B33" s="6"/>
      <c r="C33" s="14"/>
      <c r="D33" s="14"/>
      <c r="E33" s="37"/>
      <c r="F33" s="37"/>
      <c r="G33" s="37"/>
      <c r="H33" s="37"/>
      <c r="I33" s="37"/>
    </row>
    <row r="34" spans="1:9" ht="13.5" x14ac:dyDescent="0.2">
      <c r="A34" s="5"/>
      <c r="B34" s="6"/>
      <c r="C34" s="14"/>
      <c r="D34" s="14"/>
      <c r="E34" s="37"/>
      <c r="F34" s="37"/>
      <c r="G34" s="37"/>
      <c r="H34" s="37"/>
      <c r="I34" s="37"/>
    </row>
    <row r="35" spans="1:9" ht="13.5" x14ac:dyDescent="0.2">
      <c r="A35" s="5"/>
      <c r="B35" s="6"/>
      <c r="C35" s="14"/>
      <c r="D35" s="14"/>
    </row>
    <row r="36" spans="1:9" ht="13.5" x14ac:dyDescent="0.2">
      <c r="A36" s="5"/>
      <c r="B36" s="6"/>
      <c r="C36" s="14"/>
      <c r="D36" s="14"/>
    </row>
    <row r="37" spans="1:9" ht="13.5" x14ac:dyDescent="0.2">
      <c r="A37" s="6"/>
      <c r="B37" s="6"/>
      <c r="C37" s="14"/>
      <c r="D37" s="14"/>
    </row>
    <row r="38" spans="1:9" ht="13.5" x14ac:dyDescent="0.2">
      <c r="A38" s="6"/>
      <c r="B38" s="6"/>
      <c r="C38" s="14"/>
      <c r="D38" s="14"/>
    </row>
    <row r="39" spans="1:9" ht="13.5" x14ac:dyDescent="0.2">
      <c r="A39" s="6"/>
      <c r="B39" s="6"/>
      <c r="C39" s="14"/>
      <c r="D39" s="14"/>
    </row>
    <row r="40" spans="1:9" ht="14.25" thickBot="1" x14ac:dyDescent="0.25">
      <c r="A40" s="7"/>
      <c r="B40" s="7"/>
      <c r="C40" s="15"/>
      <c r="D40" s="15"/>
    </row>
    <row r="41" spans="1:9" ht="14.25" thickBot="1" x14ac:dyDescent="0.25">
      <c r="A41" s="16" t="s">
        <v>22</v>
      </c>
      <c r="B41" s="16">
        <f>SUM(B31:B40)</f>
        <v>0</v>
      </c>
      <c r="C41" s="105" t="s">
        <v>35</v>
      </c>
      <c r="D41" s="17"/>
    </row>
    <row r="42" spans="1:9" ht="14.25" x14ac:dyDescent="0.3">
      <c r="A42" s="18"/>
      <c r="B42" s="18"/>
      <c r="C42" s="18"/>
      <c r="D42" s="18"/>
    </row>
    <row r="43" spans="1:9" x14ac:dyDescent="0.2">
      <c r="A43" s="106" t="s">
        <v>36</v>
      </c>
    </row>
  </sheetData>
  <sheetProtection sheet="1" objects="1" scenarios="1" insertRows="0" selectLockedCells="1"/>
  <dataValidations count="4">
    <dataValidation type="list" allowBlank="1" showInputMessage="1" showErrorMessage="1" sqref="A3:A12 A17:A26 A31:A4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6081"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6081"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2016-12-21T13:04:24Z</dcterms:modified>
  <cp:contentStatus>Version 8.0</cp:contentStatus>
</cp:coreProperties>
</file>