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GestProj\Git\JDT\"/>
    </mc:Choice>
  </mc:AlternateContent>
  <bookViews>
    <workbookView xWindow="3675" yWindow="1965" windowWidth="15120" windowHeight="7410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8" r:id="rId7"/>
  </sheets>
  <definedNames>
    <definedName name="datDateBegin">Donnees!$C$9</definedName>
    <definedName name="ListTasks">Diagramme!$B$3:$B$10</definedName>
    <definedName name="lstTasks">Donnees!$C$20:$C$45</definedName>
    <definedName name="NbLessons">Diagramme!$C$3:$C$10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Diagramme!$A$1:$AZ$13</definedName>
    <definedName name="_xlnm.Print_Area" localSheetId="0">Donnees!$A$1:$G$54</definedName>
    <definedName name="_xlnm.Print_Area" localSheetId="6">JNLTRAV!$A$1:$D$76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75" i="158" l="1"/>
  <c r="B56" i="158"/>
  <c r="B37" i="158"/>
  <c r="B18" i="158"/>
  <c r="B9" i="156"/>
  <c r="B7" i="156"/>
  <c r="B5" i="156"/>
  <c r="C12" i="156"/>
  <c r="C11" i="156"/>
  <c r="B18" i="154" l="1"/>
  <c r="B13" i="11"/>
</calcChain>
</file>

<file path=xl/sharedStrings.xml><?xml version="1.0" encoding="utf-8"?>
<sst xmlns="http://schemas.openxmlformats.org/spreadsheetml/2006/main" count="87" uniqueCount="40">
  <si>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</si>
  <si>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</si>
  <si>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</si>
  <si>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</si>
  <si>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</si>
  <si>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</si>
  <si>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</si>
  <si>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</si>
  <si>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</si>
  <si>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</si>
  <si>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</si>
  <si>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</si>
  <si>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</si>
  <si>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</si>
  <si>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</si>
  <si>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</si>
  <si>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</si>
  <si>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</si>
  <si>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</si>
  <si>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</si>
  <si>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</si>
  <si>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</si>
  <si>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</si>
  <si>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</si>
  <si>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</si>
  <si>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Yann Merk</t>
  </si>
  <si>
    <t>MID2</t>
  </si>
  <si>
    <t>ETML</t>
  </si>
  <si>
    <t>Daily Scrum</t>
  </si>
  <si>
    <t>SQL : Load Datas</t>
  </si>
  <si>
    <t>SQL : MLD</t>
  </si>
  <si>
    <t>Max. 12</t>
  </si>
  <si>
    <t>STOP</t>
  </si>
  <si>
    <t>S 1</t>
  </si>
  <si>
    <t>S 2</t>
  </si>
  <si>
    <t>S 3</t>
  </si>
  <si>
    <t>S 4</t>
  </si>
  <si>
    <t>Ecoute du Daily Scrum de nos chers camarades</t>
  </si>
  <si>
    <t>Suppression de la table t_student et t_teacherformation, rapatriement du num AVS et de la profession dans t_person + multiples autres petits ajustements</t>
  </si>
  <si>
    <t>Continuation des Loads data, finition du load t_person, et création du load t_formation, t_lesson et t_lesson_person + Création de plusieurs entrées de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</si>
</sst>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6" fillId="9" borderId="0" xfId="0" applyFont="1" applyFill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="85" zoomScaleNormal="85" workbookViewId="0">
      <selection activeCell="C11" sqref="C1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42706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/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Y16"/>
  <sheetViews>
    <sheetView view="pageBreakPreview" zoomScale="85" zoomScaleNormal="100" zoomScaleSheetLayoutView="85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1" ht="13.5" thickBot="1" x14ac:dyDescent="0.25">
      <c r="B1" s="90"/>
      <c r="C1" s="90"/>
    </row>
    <row r="2" spans="1:51" ht="42.75" customHeight="1" thickBot="1" x14ac:dyDescent="0.25">
      <c r="A2" s="91"/>
      <c r="B2" s="45" t="s">
        <v>5</v>
      </c>
      <c r="C2" s="29" t="s">
        <v>18</v>
      </c>
      <c r="D2" s="92" t="s">
        <v>33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P2" s="92" t="s">
        <v>34</v>
      </c>
      <c r="Q2" s="93"/>
      <c r="R2" s="93"/>
      <c r="S2" s="93"/>
      <c r="T2" s="93"/>
      <c r="U2" s="93"/>
      <c r="V2" s="93"/>
      <c r="W2" s="93"/>
      <c r="X2" s="93"/>
      <c r="Y2" s="93"/>
      <c r="Z2" s="93"/>
      <c r="AA2" s="94"/>
      <c r="AB2" s="92" t="s">
        <v>35</v>
      </c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4"/>
      <c r="AN2" s="92" t="s">
        <v>36</v>
      </c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4"/>
    </row>
    <row r="3" spans="1:51" ht="19.5" customHeight="1" x14ac:dyDescent="0.2">
      <c r="A3" s="91"/>
      <c r="B3" s="85" t="s">
        <v>21</v>
      </c>
      <c r="C3" s="30">
        <v>0</v>
      </c>
      <c r="D3" s="95"/>
      <c r="E3" s="96"/>
      <c r="F3" s="97"/>
      <c r="G3" s="98"/>
      <c r="H3" s="96"/>
      <c r="I3" s="97"/>
      <c r="J3" s="98"/>
      <c r="K3" s="96"/>
      <c r="L3" s="97"/>
      <c r="M3" s="98"/>
      <c r="N3" s="96"/>
      <c r="O3" s="99"/>
      <c r="P3" s="95"/>
      <c r="Q3" s="96"/>
      <c r="R3" s="97"/>
      <c r="S3" s="98"/>
      <c r="T3" s="96"/>
      <c r="U3" s="97"/>
      <c r="V3" s="98"/>
      <c r="W3" s="96"/>
      <c r="X3" s="97"/>
      <c r="Y3" s="98"/>
      <c r="Z3" s="96"/>
      <c r="AA3" s="99"/>
      <c r="AB3" s="95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9"/>
    </row>
    <row r="4" spans="1:51" ht="19.5" customHeight="1" thickBot="1" x14ac:dyDescent="0.25">
      <c r="A4" s="91"/>
      <c r="B4" s="100"/>
      <c r="C4" s="44">
        <v>1</v>
      </c>
      <c r="D4" s="119"/>
      <c r="E4" s="102"/>
      <c r="F4" s="103"/>
      <c r="G4" s="104"/>
      <c r="H4" s="102"/>
      <c r="I4" s="103"/>
      <c r="J4" s="104"/>
      <c r="K4" s="102"/>
      <c r="L4" s="103"/>
      <c r="M4" s="104"/>
      <c r="N4" s="102"/>
      <c r="O4" s="105"/>
      <c r="P4" s="101"/>
      <c r="Q4" s="102"/>
      <c r="R4" s="103"/>
      <c r="S4" s="104"/>
      <c r="T4" s="102"/>
      <c r="U4" s="103"/>
      <c r="V4" s="104"/>
      <c r="W4" s="102"/>
      <c r="X4" s="103"/>
      <c r="Y4" s="104"/>
      <c r="Z4" s="102"/>
      <c r="AA4" s="105"/>
      <c r="AB4" s="101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3"/>
      <c r="AW4" s="104"/>
      <c r="AX4" s="102"/>
      <c r="AY4" s="105"/>
    </row>
    <row r="5" spans="1:51" ht="19.5" customHeight="1" x14ac:dyDescent="0.2">
      <c r="B5" s="106" t="str">
        <f>Donnees!$C$21</f>
        <v>Daily Scrum</v>
      </c>
      <c r="C5" s="107">
        <v>0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9"/>
      <c r="P5" s="95"/>
      <c r="Q5" s="96"/>
      <c r="R5" s="97"/>
      <c r="S5" s="98"/>
      <c r="T5" s="96"/>
      <c r="U5" s="97"/>
      <c r="V5" s="98"/>
      <c r="W5" s="96"/>
      <c r="X5" s="97"/>
      <c r="Y5" s="98"/>
      <c r="Z5" s="96"/>
      <c r="AA5" s="99"/>
      <c r="AB5" s="95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9"/>
    </row>
    <row r="6" spans="1:51" ht="19.5" customHeight="1" thickBot="1" x14ac:dyDescent="0.25">
      <c r="B6" s="108"/>
      <c r="C6" s="109">
        <v>1</v>
      </c>
      <c r="D6" s="101"/>
      <c r="E6" s="120"/>
      <c r="F6" s="103"/>
      <c r="G6" s="104"/>
      <c r="H6" s="102"/>
      <c r="I6" s="103"/>
      <c r="J6" s="104"/>
      <c r="K6" s="102"/>
      <c r="L6" s="103"/>
      <c r="M6" s="104"/>
      <c r="N6" s="102"/>
      <c r="O6" s="105"/>
      <c r="P6" s="101"/>
      <c r="Q6" s="102"/>
      <c r="R6" s="103"/>
      <c r="S6" s="104"/>
      <c r="T6" s="102"/>
      <c r="U6" s="103"/>
      <c r="V6" s="104"/>
      <c r="W6" s="102"/>
      <c r="X6" s="103"/>
      <c r="Y6" s="104"/>
      <c r="Z6" s="102"/>
      <c r="AA6" s="105"/>
      <c r="AB6" s="101"/>
      <c r="AC6" s="102"/>
      <c r="AD6" s="103"/>
      <c r="AE6" s="104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5"/>
    </row>
    <row r="7" spans="1:51" ht="19.5" customHeight="1" x14ac:dyDescent="0.2">
      <c r="B7" s="110" t="str">
        <f>Donnees!$C$22</f>
        <v>SQL : MLD</v>
      </c>
      <c r="C7" s="107">
        <v>0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9"/>
      <c r="P7" s="95"/>
      <c r="Q7" s="96"/>
      <c r="R7" s="97"/>
      <c r="S7" s="98"/>
      <c r="T7" s="96"/>
      <c r="U7" s="97"/>
      <c r="V7" s="98"/>
      <c r="W7" s="96"/>
      <c r="X7" s="97"/>
      <c r="Y7" s="98"/>
      <c r="Z7" s="96"/>
      <c r="AA7" s="99"/>
      <c r="AB7" s="95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9"/>
    </row>
    <row r="8" spans="1:51" ht="19.5" customHeight="1" thickBot="1" x14ac:dyDescent="0.25">
      <c r="B8" s="108"/>
      <c r="C8" s="109">
        <v>2</v>
      </c>
      <c r="D8" s="101"/>
      <c r="E8" s="102"/>
      <c r="F8" s="121"/>
      <c r="G8" s="122"/>
      <c r="H8" s="102"/>
      <c r="I8" s="103"/>
      <c r="J8" s="104"/>
      <c r="K8" s="102"/>
      <c r="L8" s="103"/>
      <c r="M8" s="104"/>
      <c r="N8" s="102"/>
      <c r="O8" s="105"/>
      <c r="P8" s="101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5"/>
      <c r="AB8" s="101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3"/>
      <c r="AW8" s="104"/>
      <c r="AX8" s="102"/>
      <c r="AY8" s="105"/>
    </row>
    <row r="9" spans="1:51" ht="19.5" customHeight="1" x14ac:dyDescent="0.2">
      <c r="B9" s="110" t="str">
        <f>Donnees!$C$23</f>
        <v>SQL : Load Datas</v>
      </c>
      <c r="C9" s="107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9"/>
      <c r="P9" s="95"/>
      <c r="Q9" s="96"/>
      <c r="R9" s="97"/>
      <c r="S9" s="98"/>
      <c r="T9" s="96"/>
      <c r="U9" s="97"/>
      <c r="V9" s="98"/>
      <c r="W9" s="96"/>
      <c r="X9" s="97"/>
      <c r="Y9" s="98"/>
      <c r="Z9" s="96"/>
      <c r="AA9" s="99"/>
      <c r="AB9" s="95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9"/>
    </row>
    <row r="10" spans="1:51" ht="19.5" customHeight="1" x14ac:dyDescent="0.2">
      <c r="B10" s="108"/>
      <c r="C10" s="109">
        <v>8</v>
      </c>
      <c r="D10" s="101"/>
      <c r="E10" s="102"/>
      <c r="F10" s="103"/>
      <c r="G10" s="104"/>
      <c r="H10" s="120"/>
      <c r="I10" s="121"/>
      <c r="J10" s="122"/>
      <c r="K10" s="120"/>
      <c r="L10" s="121"/>
      <c r="M10" s="122"/>
      <c r="N10" s="120"/>
      <c r="O10" s="123"/>
      <c r="P10" s="101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5"/>
      <c r="AB10" s="101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5"/>
    </row>
    <row r="11" spans="1:51" ht="19.5" customHeight="1" x14ac:dyDescent="0.2">
      <c r="B11" s="47" t="s">
        <v>16</v>
      </c>
      <c r="C11" s="49">
        <f>SUM($C$3,$C$5,$C$7,$C$9)</f>
        <v>0</v>
      </c>
      <c r="D11" s="111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3"/>
      <c r="P11" s="111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3"/>
      <c r="AB11" s="111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3"/>
      <c r="AN11" s="111"/>
      <c r="AO11" s="112"/>
      <c r="AP11" s="112"/>
      <c r="AQ11" s="112"/>
      <c r="AR11" s="112"/>
      <c r="AS11" s="112"/>
      <c r="AT11" s="112"/>
      <c r="AU11" s="112"/>
      <c r="AV11" s="112"/>
      <c r="AW11" s="112"/>
      <c r="AX11" s="112"/>
      <c r="AY11" s="113"/>
    </row>
    <row r="12" spans="1:51" ht="19.5" customHeight="1" thickBot="1" x14ac:dyDescent="0.25">
      <c r="B12" s="48" t="s">
        <v>17</v>
      </c>
      <c r="C12" s="50">
        <f>SUM($C$4,$C$6,$C$8,$C$10)</f>
        <v>12</v>
      </c>
      <c r="D12" s="114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6"/>
      <c r="P12" s="114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16"/>
      <c r="AB12" s="114"/>
      <c r="AC12" s="115"/>
      <c r="AD12" s="115"/>
      <c r="AE12" s="115"/>
      <c r="AF12" s="115"/>
      <c r="AG12" s="115"/>
      <c r="AH12" s="115"/>
      <c r="AI12" s="115"/>
      <c r="AJ12" s="115"/>
      <c r="AK12" s="115"/>
      <c r="AL12" s="115"/>
      <c r="AM12" s="116"/>
      <c r="AN12" s="114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116"/>
    </row>
    <row r="14" spans="1:51" ht="19.5" customHeight="1" x14ac:dyDescent="0.2">
      <c r="C14" s="117"/>
    </row>
    <row r="15" spans="1:51" ht="19.5" customHeight="1" x14ac:dyDescent="0.2">
      <c r="C15" s="117"/>
    </row>
    <row r="16" spans="1:51" ht="19.5" customHeight="1" x14ac:dyDescent="0.2">
      <c r="A16" s="118"/>
    </row>
  </sheetData>
  <sheetProtection sheet="1" objects="1" scenarios="1" insertRows="0" selectLockedCells="1"/>
  <mergeCells count="8">
    <mergeCell ref="AB2:AM2"/>
    <mergeCell ref="AN2:AY2"/>
    <mergeCell ref="B3:B4"/>
    <mergeCell ref="B5:B6"/>
    <mergeCell ref="B7:B8"/>
    <mergeCell ref="B9:B10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8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view="pageBreakPreview" zoomScaleNormal="100" zoomScaleSheetLayoutView="100" workbookViewId="0">
      <selection activeCell="C11" sqref="C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42706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</v>
      </c>
      <c r="C3" s="13" t="s">
        <v>37</v>
      </c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27" x14ac:dyDescent="0.2">
      <c r="A5" s="5" t="s">
        <v>30</v>
      </c>
      <c r="B5" s="6">
        <v>2</v>
      </c>
      <c r="C5" s="14" t="s">
        <v>38</v>
      </c>
      <c r="D5" s="14"/>
    </row>
    <row r="6" spans="1:4" s="81" customFormat="1" ht="27" x14ac:dyDescent="0.2">
      <c r="A6" s="5" t="s">
        <v>29</v>
      </c>
      <c r="B6" s="6">
        <v>8</v>
      </c>
      <c r="C6" s="14" t="s">
        <v>39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7" t="s">
        <v>31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42713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7" t="s">
        <v>31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42720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7" t="s">
        <v>31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42727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7" t="s">
        <v>31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8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2016-12-02T15:22:44Z</dcterms:modified>
  <cp:contentStatus>Version 8.0</cp:contentStatus>
</cp:coreProperties>
</file>