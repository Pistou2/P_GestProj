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P_GestProj\Git\JDT\"/>
    </mc:Choice>
  </mc:AlternateContent>
  <bookViews>
    <workbookView xWindow="3675" yWindow="1965" windowWidth="15120" windowHeight="7410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8" r:id="rId7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JNLTRAV!$A$1:$D$8</definedName>
    <definedName name="_xlnm.Print_Area" localSheetId="1">Diagramme!$A$1:$AZ$15</definedName>
    <definedName name="_xlnm.Print_Area" localSheetId="0">Donnees!$A$1:$G$54</definedName>
    <definedName name="_xlnm.Print_Area" localSheetId="6">JNLTRAV!$A$1:$D$55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6" i="158" l="1"/>
  <c r="B11" i="161"/>
  <c r="B9" i="161"/>
  <c r="B7" i="161"/>
  <c r="B5" i="161"/>
  <c r="C14" i="161"/>
  <c r="C13" i="161"/>
  <c r="B54" i="158" l="1"/>
  <c r="B35" i="158"/>
  <c r="B7" i="158"/>
  <c r="B18" i="154" l="1"/>
  <c r="B13" i="11"/>
</calcChain>
</file>

<file path=xl/sharedStrings.xml><?xml version="1.0" encoding="utf-8"?>
<sst xmlns="http://schemas.openxmlformats.org/spreadsheetml/2006/main" count="97" uniqueCount="45">
  <si>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</si>
  <si>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</si>
  <si>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</si>
  <si>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</si>
  <si>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</si>
  <si>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</si>
  <si>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</si>
  <si>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</si>
  <si>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</si>
  <si>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</si>
  <si>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</si>
  <si>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</si>
  <si>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</si>
  <si>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</si>
  <si>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</si>
  <si>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</si>
  <si>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</si>
  <si>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</si>
  <si>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</si>
  <si>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</si>
  <si>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</si>
  <si>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</si>
  <si>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</si>
  <si>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</si>
  <si>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</si>
  <si>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Yann Merk</t>
  </si>
  <si>
    <t>MID2</t>
  </si>
  <si>
    <t>ETML</t>
  </si>
  <si>
    <t>Daily Scrum</t>
  </si>
  <si>
    <t>SQL : Load Datas</t>
  </si>
  <si>
    <t>SQL : MLD</t>
  </si>
  <si>
    <t>Max. 12</t>
  </si>
  <si>
    <t>STOP</t>
  </si>
  <si>
    <t>S 1</t>
  </si>
  <si>
    <t>S 2</t>
  </si>
  <si>
    <t>S 3</t>
  </si>
  <si>
    <t>S 4</t>
  </si>
  <si>
    <t>Ecoute du Daily Scrum de nos chers camarades</t>
  </si>
  <si>
    <t>Suppression de la table t_student et t_teacherformation, rapatriement du num AVS et de la profession dans t_person + multiples autres petits ajustements</t>
  </si>
  <si>
    <t>Continuation des Loads data, finition du load t_person, et création du load t_formation, t_lesson et t_lesson_person + Création de plusieurs entrées de tests</t>
  </si>
  <si>
    <t>Présentation</t>
  </si>
  <si>
    <t>Fix des person.csv et formations.csv, ainsi que agrandissement de la taille max d'email dans le createDB.sql</t>
  </si>
  <si>
    <t>(même que au précédent)</t>
  </si>
  <si>
    <t>Prise de screen et réalisations du powerpoint de présentation</t>
  </si>
  <si>
    <t>Présentation de mon fichier de Burndown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</si>
</sst>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6" fillId="9" borderId="0" xfId="0" applyFont="1" applyFill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25" sqref="C25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42706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40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Y16"/>
  <sheetViews>
    <sheetView view="pageBreakPreview" zoomScale="85" zoomScaleNormal="100" zoomScaleSheetLayoutView="85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1" ht="13.5" thickBot="1" x14ac:dyDescent="0.25">
      <c r="B1" s="86"/>
      <c r="C1" s="86"/>
    </row>
    <row r="2" spans="1:51" ht="42.75" customHeight="1" thickBot="1" x14ac:dyDescent="0.25">
      <c r="A2" s="87"/>
      <c r="B2" s="45" t="s">
        <v>5</v>
      </c>
      <c r="C2" s="29" t="s">
        <v>18</v>
      </c>
      <c r="D2" s="115" t="s">
        <v>33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34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35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36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</row>
    <row r="3" spans="1:51" ht="19.5" customHeight="1" x14ac:dyDescent="0.2">
      <c r="A3" s="87"/>
      <c r="B3" s="118" t="s">
        <v>21</v>
      </c>
      <c r="C3" s="30">
        <v>0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2"/>
      <c r="P3" s="88"/>
      <c r="Q3" s="89"/>
      <c r="R3" s="90"/>
      <c r="S3" s="91"/>
      <c r="T3" s="89"/>
      <c r="U3" s="90"/>
      <c r="V3" s="91"/>
      <c r="W3" s="89"/>
      <c r="X3" s="90"/>
      <c r="Y3" s="91"/>
      <c r="Z3" s="89"/>
      <c r="AA3" s="92"/>
      <c r="AB3" s="88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2"/>
    </row>
    <row r="4" spans="1:51" ht="19.5" customHeight="1" thickBot="1" x14ac:dyDescent="0.25">
      <c r="A4" s="87"/>
      <c r="B4" s="119"/>
      <c r="C4" s="44">
        <v>2</v>
      </c>
      <c r="D4" s="108"/>
      <c r="E4" s="94"/>
      <c r="F4" s="95"/>
      <c r="G4" s="96"/>
      <c r="H4" s="94"/>
      <c r="I4" s="95"/>
      <c r="J4" s="96"/>
      <c r="K4" s="94"/>
      <c r="L4" s="95"/>
      <c r="M4" s="96"/>
      <c r="N4" s="94"/>
      <c r="O4" s="97"/>
      <c r="P4" s="108"/>
      <c r="Q4" s="94"/>
      <c r="R4" s="95"/>
      <c r="S4" s="96"/>
      <c r="T4" s="94"/>
      <c r="U4" s="95"/>
      <c r="V4" s="96"/>
      <c r="W4" s="94"/>
      <c r="X4" s="95"/>
      <c r="Y4" s="96"/>
      <c r="Z4" s="94"/>
      <c r="AA4" s="97"/>
      <c r="AB4" s="93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7"/>
    </row>
    <row r="5" spans="1:51" ht="19.5" customHeight="1" x14ac:dyDescent="0.2">
      <c r="B5" s="120" t="str">
        <f>Donnees!$C$21</f>
        <v>Daily Scrum</v>
      </c>
      <c r="C5" s="98">
        <v>0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2"/>
      <c r="P5" s="88"/>
      <c r="Q5" s="89"/>
      <c r="R5" s="90"/>
      <c r="S5" s="91"/>
      <c r="T5" s="89"/>
      <c r="U5" s="90"/>
      <c r="V5" s="91"/>
      <c r="W5" s="89"/>
      <c r="X5" s="90"/>
      <c r="Y5" s="91"/>
      <c r="Z5" s="89"/>
      <c r="AA5" s="92"/>
      <c r="AB5" s="88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2"/>
    </row>
    <row r="6" spans="1:51" ht="19.5" customHeight="1" thickBot="1" x14ac:dyDescent="0.25">
      <c r="B6" s="121"/>
      <c r="C6" s="99">
        <v>2</v>
      </c>
      <c r="D6" s="93"/>
      <c r="E6" s="109"/>
      <c r="F6" s="95"/>
      <c r="G6" s="96"/>
      <c r="H6" s="94"/>
      <c r="I6" s="95"/>
      <c r="J6" s="96"/>
      <c r="K6" s="94"/>
      <c r="L6" s="95"/>
      <c r="M6" s="96"/>
      <c r="N6" s="94"/>
      <c r="O6" s="97"/>
      <c r="P6" s="93"/>
      <c r="Q6" s="109"/>
      <c r="R6" s="95"/>
      <c r="S6" s="96"/>
      <c r="T6" s="94"/>
      <c r="U6" s="95"/>
      <c r="V6" s="96"/>
      <c r="W6" s="94"/>
      <c r="X6" s="95"/>
      <c r="Y6" s="96"/>
      <c r="Z6" s="94"/>
      <c r="AA6" s="97"/>
      <c r="AB6" s="93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7"/>
    </row>
    <row r="7" spans="1:51" ht="19.5" customHeight="1" x14ac:dyDescent="0.2">
      <c r="B7" s="122" t="str">
        <f>Donnees!$C$22</f>
        <v>SQL : MLD</v>
      </c>
      <c r="C7" s="98">
        <v>0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2"/>
      <c r="P7" s="88"/>
      <c r="Q7" s="89"/>
      <c r="R7" s="90"/>
      <c r="S7" s="91"/>
      <c r="T7" s="89"/>
      <c r="U7" s="90"/>
      <c r="V7" s="91"/>
      <c r="W7" s="89"/>
      <c r="X7" s="90"/>
      <c r="Y7" s="91"/>
      <c r="Z7" s="89"/>
      <c r="AA7" s="92"/>
      <c r="AB7" s="88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2"/>
    </row>
    <row r="8" spans="1:51" ht="19.5" customHeight="1" thickBot="1" x14ac:dyDescent="0.25">
      <c r="B8" s="121"/>
      <c r="C8" s="99">
        <v>3</v>
      </c>
      <c r="D8" s="93"/>
      <c r="E8" s="94"/>
      <c r="F8" s="110"/>
      <c r="G8" s="111"/>
      <c r="H8" s="94"/>
      <c r="I8" s="95"/>
      <c r="J8" s="96"/>
      <c r="K8" s="94"/>
      <c r="L8" s="95"/>
      <c r="M8" s="96"/>
      <c r="N8" s="94"/>
      <c r="O8" s="97"/>
      <c r="P8" s="93"/>
      <c r="Q8" s="94"/>
      <c r="R8" s="110"/>
      <c r="S8" s="96"/>
      <c r="T8" s="94"/>
      <c r="U8" s="95"/>
      <c r="V8" s="96"/>
      <c r="W8" s="94"/>
      <c r="X8" s="95"/>
      <c r="Y8" s="96"/>
      <c r="Z8" s="94"/>
      <c r="AA8" s="97"/>
      <c r="AB8" s="93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7"/>
    </row>
    <row r="9" spans="1:51" ht="19.5" customHeight="1" x14ac:dyDescent="0.2">
      <c r="B9" s="122" t="str">
        <f>Donnees!$C$23</f>
        <v>SQL : Load Datas</v>
      </c>
      <c r="C9" s="98">
        <v>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2"/>
      <c r="P9" s="88"/>
      <c r="Q9" s="89"/>
      <c r="R9" s="90"/>
      <c r="S9" s="91"/>
      <c r="T9" s="89"/>
      <c r="U9" s="90"/>
      <c r="V9" s="91"/>
      <c r="W9" s="89"/>
      <c r="X9" s="90"/>
      <c r="Y9" s="91"/>
      <c r="Z9" s="89"/>
      <c r="AA9" s="92"/>
      <c r="AB9" s="88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2"/>
    </row>
    <row r="10" spans="1:51" ht="19.5" customHeight="1" thickBot="1" x14ac:dyDescent="0.25">
      <c r="B10" s="121"/>
      <c r="C10" s="99">
        <v>9</v>
      </c>
      <c r="D10" s="93"/>
      <c r="E10" s="94"/>
      <c r="F10" s="95"/>
      <c r="G10" s="96"/>
      <c r="H10" s="109"/>
      <c r="I10" s="110"/>
      <c r="J10" s="111"/>
      <c r="K10" s="109"/>
      <c r="L10" s="110"/>
      <c r="M10" s="111"/>
      <c r="N10" s="109"/>
      <c r="O10" s="112"/>
      <c r="P10" s="93"/>
      <c r="Q10" s="94"/>
      <c r="R10" s="95"/>
      <c r="S10" s="111"/>
      <c r="T10" s="94"/>
      <c r="U10" s="95"/>
      <c r="V10" s="96"/>
      <c r="W10" s="94"/>
      <c r="X10" s="95"/>
      <c r="Y10" s="96"/>
      <c r="Z10" s="94"/>
      <c r="AA10" s="97"/>
      <c r="AB10" s="93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7"/>
    </row>
    <row r="11" spans="1:51" ht="19.5" customHeight="1" x14ac:dyDescent="0.2">
      <c r="B11" s="122" t="str">
        <f>Donnees!$C$24</f>
        <v>Présentation</v>
      </c>
      <c r="C11" s="98">
        <v>0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2"/>
      <c r="P11" s="88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2"/>
      <c r="AB11" s="88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2"/>
    </row>
    <row r="12" spans="1:51" ht="19.5" customHeight="1" x14ac:dyDescent="0.2">
      <c r="B12" s="121"/>
      <c r="C12" s="99">
        <v>8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7"/>
      <c r="P12" s="93"/>
      <c r="Q12" s="94"/>
      <c r="R12" s="95"/>
      <c r="S12" s="96"/>
      <c r="T12" s="109"/>
      <c r="U12" s="110"/>
      <c r="V12" s="111"/>
      <c r="W12" s="109"/>
      <c r="X12" s="110"/>
      <c r="Y12" s="111"/>
      <c r="Z12" s="109"/>
      <c r="AA12" s="112"/>
      <c r="AB12" s="93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93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7"/>
    </row>
    <row r="13" spans="1:51" ht="19.5" customHeight="1" x14ac:dyDescent="0.2">
      <c r="B13" s="47" t="s">
        <v>16</v>
      </c>
      <c r="C13" s="49">
        <f>SUM($C$3,$C$5,$C$7,$C$9,$C$11)</f>
        <v>0</v>
      </c>
      <c r="D13" s="100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2"/>
      <c r="P13" s="100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2"/>
      <c r="AB13" s="100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2"/>
      <c r="AN13" s="100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2"/>
    </row>
    <row r="14" spans="1:51" ht="19.5" customHeight="1" thickBot="1" x14ac:dyDescent="0.25">
      <c r="B14" s="48" t="s">
        <v>17</v>
      </c>
      <c r="C14" s="50">
        <f>SUM($C$4,$C$6,$C$8,$C$10,$C$12)</f>
        <v>24</v>
      </c>
      <c r="D14" s="103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5"/>
      <c r="P14" s="103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5"/>
      <c r="AB14" s="103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5"/>
      <c r="AN14" s="103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5"/>
    </row>
    <row r="15" spans="1:51" ht="19.5" customHeight="1" x14ac:dyDescent="0.2">
      <c r="C15" s="106"/>
    </row>
    <row r="16" spans="1:51" ht="19.5" customHeight="1" x14ac:dyDescent="0.2">
      <c r="A16" s="107"/>
    </row>
  </sheetData>
  <sheetProtection sheet="1" objects="1" scenarios="1" insertRows="0" selectLockedCells="1"/>
  <mergeCells count="9">
    <mergeCell ref="P2:AA2"/>
    <mergeCell ref="AB2:AM2"/>
    <mergeCell ref="AN2:AY2"/>
    <mergeCell ref="B3:B4"/>
    <mergeCell ref="B5:B6"/>
    <mergeCell ref="B7:B8"/>
    <mergeCell ref="B9:B10"/>
    <mergeCell ref="B11:B12"/>
    <mergeCell ref="D2: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8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56"/>
  <sheetViews>
    <sheetView tabSelected="1" view="pageBreakPreview" topLeftCell="A7" zoomScale="115" zoomScaleNormal="100" zoomScaleSheetLayoutView="115" workbookViewId="0">
      <selection activeCell="C22" sqref="C2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82">
        <v>42713</v>
      </c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9" s="81" customFormat="1" ht="13.5" x14ac:dyDescent="0.2">
      <c r="A3" s="9" t="s">
        <v>21</v>
      </c>
      <c r="B3" s="8">
        <v>1</v>
      </c>
      <c r="C3" s="13" t="s">
        <v>37</v>
      </c>
      <c r="D3" s="13"/>
    </row>
    <row r="4" spans="1:9" s="81" customFormat="1" ht="13.5" x14ac:dyDescent="0.2">
      <c r="A4" s="5" t="s">
        <v>28</v>
      </c>
      <c r="B4" s="6">
        <v>1</v>
      </c>
      <c r="C4" s="14"/>
      <c r="D4" s="14"/>
    </row>
    <row r="5" spans="1:9" s="81" customFormat="1" ht="27" x14ac:dyDescent="0.2">
      <c r="A5" s="5" t="s">
        <v>30</v>
      </c>
      <c r="B5" s="6">
        <v>2</v>
      </c>
      <c r="C5" s="14" t="s">
        <v>38</v>
      </c>
      <c r="D5" s="14"/>
    </row>
    <row r="6" spans="1:9" s="81" customFormat="1" ht="27.75" thickBot="1" x14ac:dyDescent="0.25">
      <c r="A6" s="5" t="s">
        <v>29</v>
      </c>
      <c r="B6" s="6">
        <v>8</v>
      </c>
      <c r="C6" s="14" t="s">
        <v>39</v>
      </c>
      <c r="D6" s="14"/>
    </row>
    <row r="7" spans="1:9" ht="14.25" thickBot="1" x14ac:dyDescent="0.25">
      <c r="A7" s="76" t="s">
        <v>22</v>
      </c>
      <c r="B7" s="76">
        <f>SUM(B3:B6)</f>
        <v>12</v>
      </c>
      <c r="C7" s="83" t="s">
        <v>31</v>
      </c>
      <c r="D7" s="77"/>
    </row>
    <row r="8" spans="1:9" ht="15" thickBot="1" x14ac:dyDescent="0.35">
      <c r="A8" s="78"/>
      <c r="B8" s="78"/>
      <c r="C8" s="78"/>
      <c r="D8" s="78"/>
    </row>
    <row r="9" spans="1:9" ht="18.75" thickBot="1" x14ac:dyDescent="0.25">
      <c r="A9" s="71" t="s">
        <v>14</v>
      </c>
      <c r="B9" s="72">
        <v>2</v>
      </c>
      <c r="C9" s="73" t="s">
        <v>23</v>
      </c>
      <c r="D9" s="82">
        <v>42720</v>
      </c>
    </row>
    <row r="10" spans="1:9" ht="27.75" thickBot="1" x14ac:dyDescent="0.25">
      <c r="A10" s="74" t="s">
        <v>3</v>
      </c>
      <c r="B10" s="75" t="s">
        <v>15</v>
      </c>
      <c r="C10" s="74" t="s">
        <v>7</v>
      </c>
      <c r="D10" s="74" t="s">
        <v>13</v>
      </c>
    </row>
    <row r="11" spans="1:9" ht="14.25" thickBot="1" x14ac:dyDescent="0.25">
      <c r="A11" s="5" t="s">
        <v>21</v>
      </c>
      <c r="B11" s="6">
        <v>1</v>
      </c>
      <c r="C11" s="14" t="s">
        <v>44</v>
      </c>
      <c r="D11" s="13"/>
    </row>
    <row r="12" spans="1:9" ht="13.5" x14ac:dyDescent="0.2">
      <c r="A12" s="5" t="s">
        <v>28</v>
      </c>
      <c r="B12" s="6">
        <v>1</v>
      </c>
      <c r="C12" s="14"/>
      <c r="D12" s="13"/>
    </row>
    <row r="13" spans="1:9" ht="27" x14ac:dyDescent="0.2">
      <c r="A13" s="5" t="s">
        <v>30</v>
      </c>
      <c r="B13" s="6">
        <v>1</v>
      </c>
      <c r="C13" s="14" t="s">
        <v>41</v>
      </c>
      <c r="D13" s="14"/>
    </row>
    <row r="14" spans="1:9" ht="13.5" x14ac:dyDescent="0.2">
      <c r="A14" s="5" t="s">
        <v>29</v>
      </c>
      <c r="B14" s="6">
        <v>1</v>
      </c>
      <c r="C14" s="14" t="s">
        <v>42</v>
      </c>
      <c r="D14" s="14"/>
      <c r="E14" s="37"/>
      <c r="F14" s="37"/>
      <c r="G14" s="37"/>
      <c r="H14" s="37"/>
      <c r="I14" s="37"/>
    </row>
    <row r="15" spans="1:9" ht="14.25" thickBot="1" x14ac:dyDescent="0.25">
      <c r="A15" s="124" t="s">
        <v>40</v>
      </c>
      <c r="B15" s="125">
        <v>8</v>
      </c>
      <c r="C15" s="126" t="s">
        <v>43</v>
      </c>
      <c r="D15" s="126"/>
      <c r="E15" s="37"/>
      <c r="F15" s="37"/>
      <c r="G15" s="37"/>
      <c r="H15" s="37"/>
      <c r="I15" s="37"/>
    </row>
    <row r="16" spans="1:9" ht="14.25" thickBot="1" x14ac:dyDescent="0.25">
      <c r="A16" s="76" t="s">
        <v>22</v>
      </c>
      <c r="B16" s="76">
        <f>SUM(B11:B15)</f>
        <v>12</v>
      </c>
      <c r="C16" s="83" t="s">
        <v>31</v>
      </c>
      <c r="D16" s="77"/>
      <c r="E16" s="37"/>
      <c r="F16" s="37"/>
      <c r="G16" s="37"/>
      <c r="H16" s="37"/>
      <c r="I16" s="37"/>
    </row>
    <row r="17" spans="1:9" ht="15" thickBot="1" x14ac:dyDescent="0.35">
      <c r="A17" s="78"/>
      <c r="B17" s="78"/>
      <c r="C17" s="78"/>
      <c r="D17" s="78"/>
      <c r="E17" s="37"/>
      <c r="F17" s="37"/>
      <c r="G17" s="37"/>
      <c r="H17" s="37"/>
      <c r="I17" s="37"/>
    </row>
    <row r="18" spans="1:9" ht="18.75" thickBot="1" x14ac:dyDescent="0.25">
      <c r="A18" s="71" t="s">
        <v>14</v>
      </c>
      <c r="B18" s="72">
        <v>3</v>
      </c>
      <c r="C18" s="73" t="s">
        <v>23</v>
      </c>
      <c r="D18" s="82">
        <v>42727</v>
      </c>
      <c r="E18" s="37"/>
      <c r="F18" s="37"/>
      <c r="G18" s="37"/>
      <c r="H18" s="37"/>
      <c r="I18" s="37"/>
    </row>
    <row r="19" spans="1:9" ht="27.75" thickBot="1" x14ac:dyDescent="0.25">
      <c r="A19" s="74" t="s">
        <v>3</v>
      </c>
      <c r="B19" s="75" t="s">
        <v>15</v>
      </c>
      <c r="C19" s="74" t="s">
        <v>7</v>
      </c>
      <c r="D19" s="74" t="s">
        <v>13</v>
      </c>
    </row>
    <row r="20" spans="1:9" ht="13.5" x14ac:dyDescent="0.2">
      <c r="A20" s="9"/>
      <c r="B20" s="8"/>
      <c r="C20" s="13"/>
      <c r="D20" s="13"/>
    </row>
    <row r="21" spans="1:9" ht="13.5" x14ac:dyDescent="0.2">
      <c r="A21" s="5"/>
      <c r="B21" s="6"/>
      <c r="C21" s="14"/>
      <c r="D21" s="14"/>
    </row>
    <row r="22" spans="1:9" ht="13.5" x14ac:dyDescent="0.2">
      <c r="A22" s="5"/>
      <c r="B22" s="6"/>
      <c r="C22" s="14"/>
      <c r="D22" s="14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</row>
    <row r="25" spans="1:9" ht="13.5" x14ac:dyDescent="0.2">
      <c r="A25" s="5"/>
      <c r="B25" s="6"/>
      <c r="C25" s="14"/>
      <c r="D25" s="14"/>
    </row>
    <row r="26" spans="1:9" ht="13.5" x14ac:dyDescent="0.2">
      <c r="A26" s="5"/>
      <c r="B26" s="6"/>
      <c r="C26" s="14"/>
      <c r="D26" s="14"/>
    </row>
    <row r="27" spans="1:9" ht="13.5" x14ac:dyDescent="0.2">
      <c r="A27" s="5"/>
      <c r="B27" s="6"/>
      <c r="C27" s="14"/>
      <c r="D27" s="14"/>
    </row>
    <row r="28" spans="1:9" ht="13.5" x14ac:dyDescent="0.2">
      <c r="A28" s="5"/>
      <c r="B28" s="6"/>
      <c r="C28" s="14"/>
      <c r="D28" s="14"/>
    </row>
    <row r="29" spans="1:9" ht="13.5" x14ac:dyDescent="0.2">
      <c r="A29" s="6"/>
      <c r="B29" s="6"/>
      <c r="C29" s="14"/>
      <c r="D29" s="14"/>
    </row>
    <row r="30" spans="1:9" ht="13.5" x14ac:dyDescent="0.2">
      <c r="A30" s="6"/>
      <c r="B30" s="6"/>
      <c r="C30" s="14"/>
      <c r="D30" s="14"/>
    </row>
    <row r="31" spans="1:9" ht="13.5" x14ac:dyDescent="0.2">
      <c r="A31" s="6"/>
      <c r="B31" s="6"/>
      <c r="C31" s="14"/>
      <c r="D31" s="14"/>
    </row>
    <row r="32" spans="1:9" ht="13.5" x14ac:dyDescent="0.2">
      <c r="A32" s="79"/>
      <c r="B32" s="79"/>
      <c r="C32" s="80"/>
      <c r="D32" s="80"/>
    </row>
    <row r="33" spans="1:4" ht="13.5" x14ac:dyDescent="0.2">
      <c r="A33" s="79"/>
      <c r="B33" s="79"/>
      <c r="C33" s="80"/>
      <c r="D33" s="80"/>
    </row>
    <row r="34" spans="1:4" ht="14.25" thickBot="1" x14ac:dyDescent="0.25">
      <c r="A34" s="7"/>
      <c r="B34" s="7"/>
      <c r="C34" s="15"/>
      <c r="D34" s="15"/>
    </row>
    <row r="35" spans="1:4" ht="14.25" thickBot="1" x14ac:dyDescent="0.25">
      <c r="A35" s="76" t="s">
        <v>22</v>
      </c>
      <c r="B35" s="76">
        <f>SUM(B20:B34)</f>
        <v>0</v>
      </c>
      <c r="C35" s="83" t="s">
        <v>31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14</v>
      </c>
      <c r="B37" s="72">
        <v>4</v>
      </c>
      <c r="C37" s="73" t="s">
        <v>23</v>
      </c>
      <c r="D37" s="82">
        <v>42734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/>
      <c r="B39" s="8"/>
      <c r="C39" s="13"/>
      <c r="D39" s="13"/>
    </row>
    <row r="40" spans="1:4" ht="13.5" x14ac:dyDescent="0.2">
      <c r="A40" s="5"/>
      <c r="B40" s="6"/>
      <c r="C40" s="14"/>
      <c r="D40" s="14"/>
    </row>
    <row r="41" spans="1:4" ht="13.5" x14ac:dyDescent="0.2">
      <c r="A41" s="5"/>
      <c r="B41" s="6"/>
      <c r="C41" s="14"/>
      <c r="D41" s="14"/>
    </row>
    <row r="42" spans="1:4" ht="13.5" x14ac:dyDescent="0.2">
      <c r="A42" s="5"/>
      <c r="B42" s="6"/>
      <c r="C42" s="14"/>
      <c r="D42" s="14"/>
    </row>
    <row r="43" spans="1:4" ht="13.5" x14ac:dyDescent="0.2">
      <c r="A43" s="5"/>
      <c r="B43" s="6"/>
      <c r="C43" s="14"/>
      <c r="D43" s="14"/>
    </row>
    <row r="44" spans="1:4" ht="13.5" x14ac:dyDescent="0.2">
      <c r="A44" s="5"/>
      <c r="B44" s="6"/>
      <c r="C44" s="14"/>
      <c r="D44" s="14"/>
    </row>
    <row r="45" spans="1:4" ht="13.5" x14ac:dyDescent="0.2">
      <c r="A45" s="5"/>
      <c r="B45" s="6"/>
      <c r="C45" s="14"/>
      <c r="D45" s="14"/>
    </row>
    <row r="46" spans="1:4" ht="13.5" x14ac:dyDescent="0.2">
      <c r="A46" s="5"/>
      <c r="B46" s="6"/>
      <c r="C46" s="14"/>
      <c r="D46" s="14"/>
    </row>
    <row r="47" spans="1:4" ht="13.5" x14ac:dyDescent="0.2">
      <c r="A47" s="5"/>
      <c r="B47" s="6"/>
      <c r="C47" s="14"/>
      <c r="D47" s="14"/>
    </row>
    <row r="48" spans="1:4" ht="13.5" x14ac:dyDescent="0.2">
      <c r="A48" s="6"/>
      <c r="B48" s="6"/>
      <c r="C48" s="14"/>
      <c r="D48" s="14"/>
    </row>
    <row r="49" spans="1:4" ht="13.5" x14ac:dyDescent="0.2">
      <c r="A49" s="6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79"/>
      <c r="B51" s="79"/>
      <c r="C51" s="80"/>
      <c r="D51" s="80"/>
    </row>
    <row r="52" spans="1:4" ht="13.5" x14ac:dyDescent="0.2">
      <c r="A52" s="79"/>
      <c r="B52" s="79"/>
      <c r="C52" s="80"/>
      <c r="D52" s="80"/>
    </row>
    <row r="53" spans="1:4" ht="14.25" thickBot="1" x14ac:dyDescent="0.25">
      <c r="A53" s="7"/>
      <c r="B53" s="7"/>
      <c r="C53" s="15"/>
      <c r="D53" s="15"/>
    </row>
    <row r="54" spans="1:4" ht="14.25" thickBot="1" x14ac:dyDescent="0.25">
      <c r="A54" s="76" t="s">
        <v>22</v>
      </c>
      <c r="B54" s="76">
        <f>SUM(B39:B53)</f>
        <v>0</v>
      </c>
      <c r="C54" s="83" t="s">
        <v>31</v>
      </c>
      <c r="D54" s="77"/>
    </row>
    <row r="55" spans="1:4" ht="14.25" x14ac:dyDescent="0.3">
      <c r="A55" s="78"/>
      <c r="B55" s="78"/>
      <c r="C55" s="78"/>
      <c r="D55" s="78"/>
    </row>
    <row r="56" spans="1:4" x14ac:dyDescent="0.2">
      <c r="A56" s="84" t="s">
        <v>32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6 B39:B53 B20:B34 B11:B1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">
      <formula1>0</formula1>
      <formula2>NbPerWeek * NbQuartPer</formula2>
    </dataValidation>
    <dataValidation type="list" allowBlank="1" showInputMessage="1" showErrorMessage="1" sqref="A3:A6 A39:A53 A20:A34 A11:A15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2016-12-14T15:32:16Z</dcterms:modified>
  <cp:contentStatus>Version 8.0</cp:contentStatus>
</cp:coreProperties>
</file>